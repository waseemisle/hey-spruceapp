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https://hwoodgroup-my.sharepoint.com/personal/jolimon_hwoodgroup_com/Documents/"/>
    </mc:Choice>
  </mc:AlternateContent>
  <xr:revisionPtr revIDLastSave="790" documentId="8_{7FE25051-08B1-4444-987B-540D9D52534F}" xr6:coauthVersionLast="47" xr6:coauthVersionMax="47" xr10:uidLastSave="{6B8B7766-075D-D043-8562-03DAE31FC11C}"/>
  <bookViews>
    <workbookView xWindow="480" yWindow="1780" windowWidth="28320" windowHeight="11020" xr2:uid="{C0748718-4C58-4EF6-934A-DFA48B8D0A17}"/>
  </bookViews>
  <sheets>
    <sheet name="MAINTENANCE LIST" sheetId="1" r:id="rId1"/>
  </sheets>
  <definedNames>
    <definedName name="_xlnm._FilterDatabase" localSheetId="0" hidden="1">'MAINTENANCE LIST'!$B$2:$B$61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5" i="1" l="1"/>
  <c r="E35" i="1" s="1"/>
  <c r="F35" i="1" s="1"/>
  <c r="H28" i="1"/>
  <c r="G28" i="1"/>
  <c r="F28" i="1"/>
  <c r="E28" i="1"/>
  <c r="D28" i="1"/>
  <c r="D11" i="1"/>
  <c r="E4" i="1"/>
  <c r="F4" i="1" s="1"/>
  <c r="D43" i="1"/>
  <c r="E43" i="1" s="1"/>
  <c r="F43" i="1" s="1"/>
  <c r="G43" i="1" s="1"/>
  <c r="H43" i="1" s="1"/>
  <c r="E39" i="1"/>
  <c r="F39" i="1" s="1"/>
  <c r="G39" i="1" s="1"/>
  <c r="H39" i="1" s="1"/>
  <c r="E15" i="1"/>
  <c r="F15" i="1" s="1"/>
  <c r="G15" i="1" s="1"/>
  <c r="H15" i="1" s="1"/>
  <c r="F75" i="1"/>
  <c r="G75" i="1" s="1"/>
  <c r="H75" i="1" s="1"/>
  <c r="D73" i="1"/>
  <c r="E73" i="1" s="1"/>
  <c r="F73" i="1" s="1"/>
  <c r="G73" i="1" s="1"/>
  <c r="H73" i="1" s="1"/>
  <c r="D84" i="1"/>
  <c r="E84" i="1" s="1"/>
  <c r="F84" i="1" s="1"/>
  <c r="G84" i="1" s="1"/>
  <c r="H84" i="1" s="1"/>
  <c r="D83" i="1"/>
  <c r="E83" i="1" s="1"/>
  <c r="F83" i="1" s="1"/>
  <c r="D77" i="1"/>
  <c r="E77" i="1" s="1"/>
  <c r="F77" i="1" s="1"/>
  <c r="G77" i="1" s="1"/>
  <c r="H77" i="1" s="1"/>
  <c r="D76" i="1"/>
  <c r="E76" i="1" s="1"/>
  <c r="F76" i="1" s="1"/>
  <c r="G76" i="1" s="1"/>
  <c r="H76" i="1" s="1"/>
  <c r="D75" i="1"/>
  <c r="D82" i="1"/>
  <c r="E82" i="1" s="1"/>
  <c r="F82" i="1" s="1"/>
  <c r="G82" i="1" s="1"/>
  <c r="H82" i="1" s="1"/>
  <c r="D81" i="1"/>
  <c r="E81" i="1" s="1"/>
  <c r="F81" i="1" s="1"/>
  <c r="G81" i="1" s="1"/>
  <c r="H81" i="1" s="1"/>
  <c r="D79" i="1"/>
  <c r="E79" i="1" s="1"/>
  <c r="F79" i="1" s="1"/>
  <c r="G79" i="1" s="1"/>
  <c r="H79" i="1" s="1"/>
  <c r="D51" i="1"/>
  <c r="E51" i="1" s="1"/>
  <c r="F51" i="1" s="1"/>
  <c r="G51" i="1" s="1"/>
  <c r="H51" i="1" s="1"/>
  <c r="D74" i="1"/>
  <c r="E74" i="1" s="1"/>
  <c r="F74" i="1" s="1"/>
  <c r="G74" i="1" s="1"/>
  <c r="H74" i="1" s="1"/>
  <c r="D78" i="1"/>
  <c r="E78" i="1" s="1"/>
  <c r="F78" i="1" s="1"/>
  <c r="G78" i="1" s="1"/>
  <c r="H78" i="1" s="1"/>
  <c r="E5" i="1"/>
  <c r="F5" i="1" s="1"/>
  <c r="E6" i="1"/>
  <c r="F6" i="1" s="1"/>
  <c r="E8" i="1"/>
  <c r="F8" i="1" s="1"/>
  <c r="E9" i="1"/>
  <c r="F9" i="1" s="1"/>
  <c r="E10" i="1"/>
  <c r="F10" i="1" s="1"/>
  <c r="E12" i="1"/>
  <c r="F12" i="1" s="1"/>
  <c r="E13" i="1"/>
  <c r="F13" i="1" s="1"/>
  <c r="E14" i="1"/>
  <c r="F14" i="1" s="1"/>
  <c r="E16" i="1"/>
  <c r="F16" i="1" s="1"/>
  <c r="E17" i="1"/>
  <c r="F17" i="1" s="1"/>
  <c r="E18" i="1"/>
  <c r="F18" i="1" s="1"/>
  <c r="E20" i="1"/>
  <c r="F20" i="1" s="1"/>
  <c r="E21" i="1"/>
  <c r="F21" i="1" s="1"/>
  <c r="E22" i="1"/>
  <c r="F22" i="1" s="1"/>
  <c r="E23" i="1"/>
  <c r="E24" i="1"/>
  <c r="F24" i="1" s="1"/>
  <c r="E25" i="1"/>
  <c r="F25" i="1" s="1"/>
  <c r="E26" i="1"/>
  <c r="F26" i="1" s="1"/>
  <c r="E27" i="1"/>
  <c r="E29" i="1"/>
  <c r="F29" i="1" s="1"/>
  <c r="E30" i="1"/>
  <c r="F30" i="1" s="1"/>
  <c r="E33" i="1"/>
  <c r="F33" i="1" s="1"/>
  <c r="E34" i="1"/>
  <c r="F34" i="1" s="1"/>
  <c r="E36" i="1"/>
  <c r="E37" i="1"/>
  <c r="F37" i="1" s="1"/>
  <c r="E38" i="1"/>
  <c r="F38" i="1" s="1"/>
  <c r="E40" i="1"/>
  <c r="E41" i="1"/>
  <c r="F41" i="1" s="1"/>
  <c r="E42" i="1"/>
  <c r="F42" i="1" s="1"/>
  <c r="E44" i="1"/>
  <c r="E45" i="1"/>
  <c r="F45" i="1" s="1"/>
  <c r="E46" i="1"/>
  <c r="F46" i="1" s="1"/>
  <c r="E47" i="1"/>
  <c r="F47" i="1" s="1"/>
  <c r="E48" i="1"/>
  <c r="E49" i="1"/>
  <c r="F49" i="1" s="1"/>
  <c r="E50" i="1"/>
  <c r="F50" i="1" s="1"/>
  <c r="E52" i="1"/>
  <c r="E53" i="1"/>
  <c r="F53" i="1" s="1"/>
  <c r="E54" i="1"/>
  <c r="F54" i="1" s="1"/>
  <c r="E56" i="1"/>
  <c r="F56" i="1" s="1"/>
  <c r="E57" i="1"/>
  <c r="F57" i="1" s="1"/>
  <c r="E58" i="1"/>
  <c r="F58" i="1" s="1"/>
  <c r="E59" i="1"/>
  <c r="F59" i="1" s="1"/>
  <c r="E60" i="1"/>
  <c r="F60" i="1" s="1"/>
  <c r="E61" i="1"/>
  <c r="F61" i="1" s="1"/>
  <c r="E62" i="1"/>
  <c r="F62" i="1" s="1"/>
  <c r="E63" i="1"/>
  <c r="F63" i="1" s="1"/>
  <c r="E64" i="1"/>
  <c r="F64" i="1" s="1"/>
  <c r="E65" i="1"/>
  <c r="F65" i="1" s="1"/>
  <c r="E66" i="1"/>
  <c r="F66" i="1" s="1"/>
  <c r="G50" i="1" l="1"/>
  <c r="H50" i="1" s="1"/>
  <c r="G63" i="1"/>
  <c r="H63" i="1" s="1"/>
  <c r="G59" i="1"/>
  <c r="H59" i="1" s="1"/>
  <c r="G47" i="1"/>
  <c r="H47" i="1" s="1"/>
  <c r="G35" i="1"/>
  <c r="H35" i="1" s="1"/>
  <c r="G26" i="1"/>
  <c r="H26" i="1" s="1"/>
  <c r="G22" i="1"/>
  <c r="H22" i="1" s="1"/>
  <c r="G18" i="1"/>
  <c r="H18" i="1" s="1"/>
  <c r="G14" i="1"/>
  <c r="H14" i="1" s="1"/>
  <c r="G10" i="1"/>
  <c r="H10" i="1" s="1"/>
  <c r="G6" i="1"/>
  <c r="H6" i="1" s="1"/>
  <c r="F52" i="1"/>
  <c r="G52" i="1" s="1"/>
  <c r="H52" i="1" s="1"/>
  <c r="F48" i="1"/>
  <c r="G48" i="1" s="1"/>
  <c r="H48" i="1" s="1"/>
  <c r="F44" i="1"/>
  <c r="G44" i="1" s="1"/>
  <c r="H44" i="1" s="1"/>
  <c r="F40" i="1"/>
  <c r="G40" i="1" s="1"/>
  <c r="H40" i="1" s="1"/>
  <c r="F36" i="1"/>
  <c r="G36" i="1" s="1"/>
  <c r="H36" i="1" s="1"/>
  <c r="F27" i="1"/>
  <c r="G27" i="1" s="1"/>
  <c r="H27" i="1" s="1"/>
  <c r="F23" i="1"/>
  <c r="G23" i="1" s="1"/>
  <c r="H23" i="1" s="1"/>
  <c r="G54" i="1"/>
  <c r="H54" i="1" s="1"/>
  <c r="G66" i="1"/>
  <c r="H66" i="1" s="1"/>
  <c r="G62" i="1"/>
  <c r="H62" i="1" s="1"/>
  <c r="G58" i="1"/>
  <c r="H58" i="1" s="1"/>
  <c r="G53" i="1"/>
  <c r="H53" i="1" s="1"/>
  <c r="G65" i="1"/>
  <c r="H65" i="1" s="1"/>
  <c r="G61" i="1"/>
  <c r="H61" i="1" s="1"/>
  <c r="G57" i="1"/>
  <c r="H57" i="1" s="1"/>
  <c r="G64" i="1"/>
  <c r="H64" i="1" s="1"/>
  <c r="G60" i="1"/>
  <c r="H60" i="1" s="1"/>
  <c r="G56" i="1"/>
  <c r="H56" i="1" s="1"/>
  <c r="G46" i="1"/>
  <c r="H46" i="1" s="1"/>
  <c r="G42" i="1"/>
  <c r="H42" i="1" s="1"/>
  <c r="G38" i="1"/>
  <c r="H38" i="1" s="1"/>
  <c r="G34" i="1"/>
  <c r="H34" i="1" s="1"/>
  <c r="G30" i="1"/>
  <c r="H30" i="1" s="1"/>
  <c r="G25" i="1"/>
  <c r="H25" i="1" s="1"/>
  <c r="G21" i="1"/>
  <c r="H21" i="1" s="1"/>
  <c r="G17" i="1"/>
  <c r="H17" i="1" s="1"/>
  <c r="G13" i="1"/>
  <c r="H13" i="1" s="1"/>
  <c r="G9" i="1"/>
  <c r="H9" i="1" s="1"/>
  <c r="G5" i="1"/>
  <c r="H5" i="1" s="1"/>
  <c r="G49" i="1"/>
  <c r="H49" i="1" s="1"/>
  <c r="G45" i="1"/>
  <c r="H45" i="1" s="1"/>
  <c r="G41" i="1"/>
  <c r="H41" i="1" s="1"/>
  <c r="G37" i="1"/>
  <c r="H37" i="1" s="1"/>
  <c r="G33" i="1"/>
  <c r="H33" i="1" s="1"/>
  <c r="G29" i="1"/>
  <c r="H29" i="1" s="1"/>
  <c r="G24" i="1"/>
  <c r="H24" i="1" s="1"/>
  <c r="G20" i="1"/>
  <c r="H20" i="1" s="1"/>
  <c r="G16" i="1"/>
  <c r="H16" i="1" s="1"/>
  <c r="G12" i="1"/>
  <c r="H12" i="1" s="1"/>
  <c r="G8" i="1"/>
  <c r="H8" i="1" s="1"/>
  <c r="G4" i="1"/>
  <c r="H4" i="1" s="1"/>
  <c r="G83" i="1"/>
  <c r="H83" i="1" s="1"/>
  <c r="E31" i="1"/>
  <c r="F31" i="1" s="1"/>
  <c r="G31" i="1" s="1"/>
  <c r="H31" i="1" s="1"/>
  <c r="E11" i="1"/>
  <c r="F11" i="1"/>
  <c r="G11" i="1" s="1"/>
  <c r="H11" i="1" s="1"/>
  <c r="D2" i="1"/>
  <c r="G2" i="1"/>
  <c r="H2" i="1"/>
  <c r="F2" i="1"/>
</calcChain>
</file>

<file path=xl/sharedStrings.xml><?xml version="1.0" encoding="utf-8"?>
<sst xmlns="http://schemas.openxmlformats.org/spreadsheetml/2006/main" count="294" uniqueCount="97">
  <si>
    <t>RESTAURANT</t>
  </si>
  <si>
    <t>SERVICE TYPE</t>
  </si>
  <si>
    <t>LAST SERVICED</t>
  </si>
  <si>
    <t>NEXT SERVICE NEEDED BY</t>
  </si>
  <si>
    <t>NEXT SERVICE NEEDED BY2</t>
  </si>
  <si>
    <t>NEXT SERVICE NEEDED BY3</t>
  </si>
  <si>
    <t>NEXT SERVICE NEEDED BY4</t>
  </si>
  <si>
    <t>NEXT SERVICE NEEDED BY5</t>
  </si>
  <si>
    <t>FREQUENCY LABEL</t>
  </si>
  <si>
    <t>SCHEDULING</t>
  </si>
  <si>
    <t>NOTES</t>
  </si>
  <si>
    <t>Delilah (West Hollywood)</t>
  </si>
  <si>
    <t>Fire Suppression &amp; Extinguishers</t>
  </si>
  <si>
    <t>SEMIANNUALLY</t>
  </si>
  <si>
    <t>MONDAYS (10AM-5PM)</t>
  </si>
  <si>
    <t>Preffered Vendors (LA)</t>
  </si>
  <si>
    <t>Grease Trap Pumping</t>
  </si>
  <si>
    <t>EVERY 2 MONTHS</t>
  </si>
  <si>
    <t>TECH MUST PROVIDE BEFORE AND AFTER PHOTOS</t>
  </si>
  <si>
    <t>AMIR</t>
  </si>
  <si>
    <t>Hood Cleaning</t>
  </si>
  <si>
    <t>QUARTERLY</t>
  </si>
  <si>
    <t>SPRUCE</t>
  </si>
  <si>
    <t>Hot Line Maintenance</t>
  </si>
  <si>
    <t>HVAC Maintenance</t>
  </si>
  <si>
    <t>PROTEK</t>
  </si>
  <si>
    <t>Hydro Jet Cleaning AM</t>
  </si>
  <si>
    <t>LIONS</t>
  </si>
  <si>
    <t>Ice Machine Maintenance</t>
  </si>
  <si>
    <t>Hydro Jet Cleaning (PM)</t>
  </si>
  <si>
    <t>Monthly Painting</t>
  </si>
  <si>
    <t>MONTHLY</t>
  </si>
  <si>
    <t>DIAMOND</t>
  </si>
  <si>
    <t>Pest Control</t>
  </si>
  <si>
    <t>BI-WEEKLY</t>
  </si>
  <si>
    <t>ADHOC/BOH</t>
  </si>
  <si>
    <t>Pressure Washing</t>
  </si>
  <si>
    <t>LLOYD</t>
  </si>
  <si>
    <t xml:space="preserve"> 1800.570.2847</t>
  </si>
  <si>
    <t>Refrigeration Maintenance</t>
  </si>
  <si>
    <t xml:space="preserve"> </t>
  </si>
  <si>
    <t>Upholstery Cleaning</t>
  </si>
  <si>
    <t>562-217-8839</t>
  </si>
  <si>
    <t>Keys (Sunset Blvd, West Hollywood)</t>
  </si>
  <si>
    <t>THURDAYS (10AM-6PM)</t>
  </si>
  <si>
    <t>BOH</t>
  </si>
  <si>
    <t>Tree Trimming</t>
  </si>
  <si>
    <t xml:space="preserve">Leonardo Aldana </t>
  </si>
  <si>
    <t>All appliance repair</t>
  </si>
  <si>
    <t>Alex</t>
  </si>
  <si>
    <t>Scheduler : Marina</t>
  </si>
  <si>
    <t>Electrician</t>
  </si>
  <si>
    <t>Sagi</t>
  </si>
  <si>
    <t>Hydro Jet Cleaning (AM only)</t>
  </si>
  <si>
    <t>Air gas</t>
  </si>
  <si>
    <t>Plumbing</t>
  </si>
  <si>
    <t>Belinda Wolchuk
Mark Wolchuk</t>
  </si>
  <si>
    <t>Quarterly Painting</t>
  </si>
  <si>
    <t>Weekly Painting</t>
  </si>
  <si>
    <t>WEEKLY</t>
  </si>
  <si>
    <t>Poppy (West Hollywood)</t>
  </si>
  <si>
    <t>Bi-weekly Painting</t>
  </si>
  <si>
    <t>Scheduled on 12/4 10AM</t>
  </si>
  <si>
    <t>The Bird Streets Club (Sunset, West Hollywood)</t>
  </si>
  <si>
    <t>MONDAYS (7AM-12PM)</t>
  </si>
  <si>
    <t>MON-WED PM (3AM-6AM)</t>
  </si>
  <si>
    <t>SUNDAYS (6AM-8AM)</t>
  </si>
  <si>
    <t xml:space="preserve">Scheduled 11/25 with BOH, This is their last round of hood cleaning. Moving forward we will be scheduling via Spruce </t>
  </si>
  <si>
    <t xml:space="preserve">HVAC Maintenance (AM Only) </t>
  </si>
  <si>
    <t>MON-WED (7AM-12PM)</t>
  </si>
  <si>
    <t>MON-WED PM (3AM-8AM)</t>
  </si>
  <si>
    <t>MONDAYS (8AM-10AM)</t>
  </si>
  <si>
    <t>WEDNESDAY (8-10AM)</t>
  </si>
  <si>
    <t>MON-FRI (7AM-10AM)</t>
  </si>
  <si>
    <t>MONDAYS (7AM-9AM)</t>
  </si>
  <si>
    <t>The Nice Guy (Cienega, West Hollywood)</t>
  </si>
  <si>
    <t>MON-WED (10AM-2PM)</t>
  </si>
  <si>
    <t>TUESDAYS (11AM-2PM)</t>
  </si>
  <si>
    <t>TUESDAYS (7AM-10AM)</t>
  </si>
  <si>
    <t>TUESDAYS (8AM-11AM)</t>
  </si>
  <si>
    <t>TUESDAYS (9AM-2PM)</t>
  </si>
  <si>
    <t>TUESDAYS (8AM-12PM)</t>
  </si>
  <si>
    <t>MONDAYS (8AM-11AM)</t>
  </si>
  <si>
    <t>FRIDAYS (8AM-10AM)</t>
  </si>
  <si>
    <t>Delilah (Miami)</t>
  </si>
  <si>
    <t>Scheduled for 12/15</t>
  </si>
  <si>
    <t>Scheduled for 12/8</t>
  </si>
  <si>
    <t>Scheduled for 12/2</t>
  </si>
  <si>
    <t>NOT SET</t>
  </si>
  <si>
    <t>Delilah (Dallas)</t>
  </si>
  <si>
    <t>BI-MONTHLY</t>
  </si>
  <si>
    <t>Painting</t>
  </si>
  <si>
    <t>Upholstery &amp; Carpet Cleaning</t>
  </si>
  <si>
    <t>MONDAYS ONLY</t>
  </si>
  <si>
    <t>Monthly due to recent reupholstery</t>
  </si>
  <si>
    <t>3/35/26</t>
  </si>
  <si>
    <t>TUESDAYS (10AM-6PM)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</si>
</sst>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&lt;=9999999]###\-####;\(###\)\ ###\-####"/>
  </numFmts>
  <fonts count="6" x14ac:knownFonts="1"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theme="0" tint="-0.14999847407452621"/>
      </left>
      <right style="medium">
        <color theme="0" tint="-0.14999847407452621"/>
      </right>
      <top style="medium">
        <color theme="0" tint="-0.14999847407452621"/>
      </top>
      <bottom style="medium">
        <color theme="0" tint="-0.1499984740745262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theme="0" tint="-0.14999847407452621"/>
      </left>
      <right style="medium">
        <color theme="0" tint="-0.14999847407452621"/>
      </right>
      <top/>
      <bottom style="medium">
        <color theme="0" tint="-0.14999847407452621"/>
      </bottom>
      <diagonal/>
    </border>
    <border>
      <left/>
      <right/>
      <top/>
      <bottom style="medium">
        <color indexed="64"/>
      </bottom>
      <diagonal/>
    </border>
    <border>
      <left style="medium">
        <color theme="0" tint="-0.14999847407452621"/>
      </left>
      <right style="medium">
        <color theme="0" tint="-0.14999847407452621"/>
      </right>
      <top/>
      <bottom/>
      <diagonal/>
    </border>
    <border>
      <left style="medium">
        <color rgb="FFCCCCCC"/>
      </left>
      <right style="medium">
        <color rgb="FFCCCCCC"/>
      </right>
      <top style="thin">
        <color theme="2" tint="-0.249977111117893"/>
      </top>
      <bottom style="medium">
        <color rgb="FFCCCCCC"/>
      </bottom>
      <diagonal/>
    </border>
    <border>
      <left style="medium">
        <color theme="0" tint="-0.14999847407452621"/>
      </left>
      <right style="medium">
        <color theme="0" tint="-0.14999847407452621"/>
      </right>
      <top style="thin">
        <color theme="2" tint="-0.249977111117893"/>
      </top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1" xfId="0" applyFont="1" applyBorder="1" applyAlignment="1">
      <alignment horizontal="left" wrapText="1"/>
    </xf>
    <xf numFmtId="14" fontId="2" fillId="0" borderId="1" xfId="0" applyNumberFormat="1" applyFont="1" applyBorder="1" applyAlignment="1">
      <alignment horizontal="left" wrapText="1"/>
    </xf>
    <xf numFmtId="0" fontId="3" fillId="0" borderId="0" xfId="0" applyFont="1" applyAlignment="1">
      <alignment horizontal="left"/>
    </xf>
    <xf numFmtId="0" fontId="2" fillId="0" borderId="1" xfId="0" applyFont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3" fillId="0" borderId="3" xfId="0" applyFont="1" applyBorder="1" applyAlignment="1">
      <alignment horizontal="left"/>
    </xf>
    <xf numFmtId="0" fontId="2" fillId="0" borderId="6" xfId="0" applyFont="1" applyBorder="1" applyAlignment="1">
      <alignment horizontal="left" wrapText="1"/>
    </xf>
    <xf numFmtId="0" fontId="2" fillId="0" borderId="7" xfId="0" applyFont="1" applyBorder="1" applyAlignment="1">
      <alignment horizontal="left" wrapText="1"/>
    </xf>
    <xf numFmtId="0" fontId="2" fillId="0" borderId="0" xfId="0" applyFont="1" applyAlignment="1">
      <alignment horizontal="left"/>
    </xf>
    <xf numFmtId="0" fontId="1" fillId="0" borderId="2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4" fillId="0" borderId="0" xfId="0" applyFont="1" applyAlignment="1">
      <alignment wrapText="1"/>
    </xf>
    <xf numFmtId="0" fontId="2" fillId="0" borderId="0" xfId="0" applyFont="1" applyAlignment="1">
      <alignment horizontal="left" wrapText="1"/>
    </xf>
    <xf numFmtId="16" fontId="2" fillId="0" borderId="1" xfId="0" applyNumberFormat="1" applyFont="1" applyBorder="1" applyAlignment="1">
      <alignment horizontal="left" vertical="center" wrapText="1"/>
    </xf>
    <xf numFmtId="14" fontId="3" fillId="0" borderId="0" xfId="0" applyNumberFormat="1" applyFont="1" applyAlignment="1">
      <alignment horizontal="left"/>
    </xf>
    <xf numFmtId="14" fontId="2" fillId="0" borderId="0" xfId="0" applyNumberFormat="1" applyFont="1" applyAlignment="1">
      <alignment horizontal="left"/>
    </xf>
    <xf numFmtId="164" fontId="2" fillId="0" borderId="2" xfId="0" applyNumberFormat="1" applyFont="1" applyBorder="1" applyAlignment="1">
      <alignment horizontal="left"/>
    </xf>
    <xf numFmtId="164" fontId="2" fillId="0" borderId="0" xfId="0" applyNumberFormat="1" applyFont="1" applyAlignment="1">
      <alignment horizontal="left"/>
    </xf>
    <xf numFmtId="164" fontId="2" fillId="0" borderId="2" xfId="0" applyNumberFormat="1" applyFont="1" applyBorder="1" applyAlignment="1">
      <alignment horizontal="left" wrapText="1"/>
    </xf>
    <xf numFmtId="0" fontId="1" fillId="0" borderId="7" xfId="0" applyFont="1" applyBorder="1" applyAlignment="1">
      <alignment horizontal="left" wrapText="1"/>
    </xf>
    <xf numFmtId="0" fontId="3" fillId="0" borderId="8" xfId="0" applyFont="1" applyBorder="1" applyAlignment="1">
      <alignment horizontal="left"/>
    </xf>
    <xf numFmtId="16" fontId="3" fillId="0" borderId="0" xfId="0" applyNumberFormat="1" applyFont="1" applyAlignment="1">
      <alignment horizontal="left"/>
    </xf>
    <xf numFmtId="0" fontId="2" fillId="0" borderId="9" xfId="0" applyFont="1" applyBorder="1" applyAlignment="1">
      <alignment horizontal="left" wrapText="1"/>
    </xf>
    <xf numFmtId="0" fontId="3" fillId="0" borderId="9" xfId="0" applyFont="1" applyBorder="1" applyAlignment="1">
      <alignment horizontal="left"/>
    </xf>
    <xf numFmtId="16" fontId="3" fillId="0" borderId="9" xfId="0" applyNumberFormat="1" applyFont="1" applyBorder="1" applyAlignment="1">
      <alignment horizontal="left"/>
    </xf>
    <xf numFmtId="0" fontId="2" fillId="0" borderId="9" xfId="0" applyFont="1" applyBorder="1" applyAlignment="1">
      <alignment horizontal="left"/>
    </xf>
    <xf numFmtId="164" fontId="2" fillId="0" borderId="9" xfId="0" applyNumberFormat="1" applyFont="1" applyBorder="1" applyAlignment="1">
      <alignment horizontal="left"/>
    </xf>
    <xf numFmtId="0" fontId="3" fillId="0" borderId="10" xfId="0" applyFont="1" applyBorder="1" applyAlignment="1">
      <alignment horizontal="left"/>
    </xf>
    <xf numFmtId="0" fontId="2" fillId="0" borderId="11" xfId="0" applyFont="1" applyBorder="1" applyAlignment="1">
      <alignment horizontal="left" wrapText="1"/>
    </xf>
    <xf numFmtId="14" fontId="1" fillId="0" borderId="7" xfId="0" applyNumberFormat="1" applyFont="1" applyBorder="1" applyAlignment="1">
      <alignment horizontal="left" wrapText="1"/>
    </xf>
    <xf numFmtId="14" fontId="2" fillId="0" borderId="6" xfId="0" applyNumberFormat="1" applyFont="1" applyBorder="1" applyAlignment="1">
      <alignment horizontal="left" wrapText="1"/>
    </xf>
    <xf numFmtId="14" fontId="3" fillId="0" borderId="9" xfId="0" applyNumberFormat="1" applyFont="1" applyBorder="1" applyAlignment="1">
      <alignment horizontal="left"/>
    </xf>
    <xf numFmtId="14" fontId="3" fillId="0" borderId="0" xfId="0" quotePrefix="1" applyNumberFormat="1" applyFont="1" applyAlignment="1">
      <alignment horizontal="left"/>
    </xf>
    <xf numFmtId="0" fontId="2" fillId="0" borderId="3" xfId="0" applyFont="1" applyBorder="1" applyAlignment="1">
      <alignment horizontal="left"/>
    </xf>
    <xf numFmtId="14" fontId="3" fillId="0" borderId="1" xfId="0" applyNumberFormat="1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2" fillId="0" borderId="5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2" borderId="0" xfId="0" applyFont="1" applyFill="1" applyAlignment="1">
      <alignment horizontal="left" wrapText="1"/>
    </xf>
    <xf numFmtId="0" fontId="2" fillId="0" borderId="0" xfId="0" applyFont="1"/>
    <xf numFmtId="0" fontId="3" fillId="0" borderId="12" xfId="0" applyFont="1" applyBorder="1" applyAlignment="1">
      <alignment horizontal="left"/>
    </xf>
  </cellXfs>
  <cellStyles count="1"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9" formatCode="m/d/yy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left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left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border outline="0">
        <top style="medium">
          <color rgb="FFCCCCCC"/>
        </top>
      </border>
    </dxf>
    <dxf>
      <border outline="0">
        <bottom style="medium">
          <color rgb="FFCCCCCC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3E54F7E-DFAA-497D-9D63-4E771BC9F98B}" name="Table1" displayName="Table1" ref="A1:K85" totalsRowShown="0" headerRowDxfId="1" dataDxfId="0" headerRowBorderDxfId="14" tableBorderDxfId="13">
  <autoFilter ref="A1:K85" xr:uid="{93E54F7E-DFAA-497D-9D63-4E771BC9F98B}"/>
  <tableColumns count="11">
    <tableColumn id="1" xr3:uid="{DA87F1B2-A680-41B6-A6EB-E299696573DB}" name="RESTAURANT" dataDxfId="12"/>
    <tableColumn id="2" xr3:uid="{6255D679-F91E-496B-8AB1-296C012C990E}" name="SERVICE TYPE" dataDxfId="11"/>
    <tableColumn id="3" xr3:uid="{95AAA401-A5B5-4E92-A108-5B2EBB560694}" name="LAST SERVICED" dataDxfId="10"/>
    <tableColumn id="4" xr3:uid="{B6F61129-4D2C-4B1C-9828-E6415C609483}" name="NEXT SERVICE NEEDED BY" dataDxfId="9"/>
    <tableColumn id="5" xr3:uid="{0EFACE75-4A81-4DC3-9E7B-1FFDA3CB1DAA}" name="NEXT SERVICE NEEDED BY2" dataDxfId="8"/>
    <tableColumn id="6" xr3:uid="{9BCED8E2-E1A5-4122-8B05-450FD1E6DB1B}" name="NEXT SERVICE NEEDED BY3" dataDxfId="7"/>
    <tableColumn id="7" xr3:uid="{14B3EB1C-D352-4BA0-9A69-A3CDBF40937F}" name="NEXT SERVICE NEEDED BY4" dataDxfId="6"/>
    <tableColumn id="8" xr3:uid="{1AB52BD0-8D0A-46D3-84E6-1A799A550CE6}" name="NEXT SERVICE NEEDED BY5" dataDxfId="5"/>
    <tableColumn id="9" xr3:uid="{8066F9E6-02EB-48EA-B0CB-F86819B0EF83}" name="FREQUENCY LABEL" dataDxfId="4"/>
    <tableColumn id="10" xr3:uid="{5D19FAC9-99E6-4DF2-A66D-2C75B99A25E9}" name="SCHEDULING" dataDxfId="3"/>
    <tableColumn id="11" xr3:uid="{C22DD208-CB8D-49B3-A6F8-4BE79F0A22D2}" name="NOTES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EE343-6665-4A45-876E-36F766CA72E2}">
  <dimension ref="A1:Q85"/>
  <sheetViews>
    <sheetView tabSelected="1" workbookViewId="0">
      <pane xSplit="2" ySplit="1" topLeftCell="I34" activePane="bottomRight" state="frozen"/>
      <selection pane="topRight" activeCell="C1" sqref="C1"/>
      <selection pane="bottomLeft" activeCell="A2" sqref="A2"/>
      <selection pane="bottomRight" activeCell="D36" sqref="D36"/>
    </sheetView>
  </sheetViews>
  <sheetFormatPr baseColWidth="10" defaultColWidth="9.1640625" defaultRowHeight="14" x14ac:dyDescent="0.15"/>
  <cols>
    <col min="1" max="2" width="42.5" style="3" customWidth="1"/>
    <col min="3" max="3" width="24.33203125" style="3" customWidth="1"/>
    <col min="4" max="4" width="27.1640625" style="15" customWidth="1"/>
    <col min="5" max="6" width="27.1640625" style="3" customWidth="1"/>
    <col min="7" max="7" width="27.83203125" style="3" customWidth="1"/>
    <col min="8" max="8" width="27.1640625" style="3" customWidth="1"/>
    <col min="9" max="9" width="20.5" style="3" bestFit="1" customWidth="1"/>
    <col min="10" max="10" width="23.83203125" style="3" customWidth="1"/>
    <col min="11" max="11" width="53.83203125" style="3" customWidth="1"/>
    <col min="12" max="12" width="3.6640625" style="3" customWidth="1"/>
    <col min="13" max="13" width="30.1640625" style="9" customWidth="1"/>
    <col min="14" max="14" width="20.5" style="9" customWidth="1"/>
    <col min="15" max="15" width="18.5" style="18" customWidth="1"/>
    <col min="16" max="16" width="15" style="9" customWidth="1"/>
    <col min="17" max="17" width="19.1640625" style="9" customWidth="1"/>
    <col min="18" max="18" width="21.33203125" style="3" customWidth="1"/>
    <col min="19" max="16384" width="9.1640625" style="3"/>
  </cols>
  <sheetData>
    <row r="1" spans="1:16" ht="15" thickBot="1" x14ac:dyDescent="0.2">
      <c r="A1" s="20" t="s">
        <v>0</v>
      </c>
      <c r="B1" s="20" t="s">
        <v>1</v>
      </c>
      <c r="C1" s="20" t="s">
        <v>2</v>
      </c>
      <c r="D1" s="3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20" t="s">
        <v>9</v>
      </c>
      <c r="K1" s="20" t="s">
        <v>10</v>
      </c>
    </row>
    <row r="2" spans="1:16" ht="15" thickBot="1" x14ac:dyDescent="0.2">
      <c r="A2" s="7" t="s">
        <v>11</v>
      </c>
      <c r="B2" s="7" t="s">
        <v>12</v>
      </c>
      <c r="C2" s="2">
        <v>46106</v>
      </c>
      <c r="D2" s="2">
        <f t="shared" ref="D2:E34" ca="1" si="0">IF($D2="","",
IF($I2="MONTHLY",EDATE($D2,1),
IF($I2="QUARTERLY",EDATE($D2,3),
IF($I2="SEMIANNUALLY",EDATE($D2,6),
IF($I2="BI-WEEKLY",$D2+14,
IF($I2="WEEKLY",$D2+7,""))))))</f>
        <v>46290</v>
      </c>
      <c r="E2" s="2" t="s">
        <v>95</v>
      </c>
      <c r="F2" s="2">
        <f t="shared" ref="F2:G34" ca="1" si="1">IF($F2="","",
 IF($I2="MONTHLY",EDATE($F2,1),
 IF($I2="QUARTERLY",EDATE($F2,3),
 IF($I2="SEMIANNUALLY",EDATE($F2,6),
 IF($I2="BI-WEEKLY",$F2+14,
 IF($I2="WEEKLY",$F2+7,""))))))</f>
        <v>46655</v>
      </c>
      <c r="G2" s="2">
        <f t="shared" ref="G2:H34" ca="1" si="2">IF($G2="","",
 IF($I2="MONTHLY",EDATE($G2,1),
 IF($I2="QUARTERLY",EDATE($G2,3),
 IF($I2="SEMIANNUALLY",EDATE($G2,6),
 IF($I2="BI-WEEKLY",$G2+14,
 IF($I2="WEEKLY",$G2+7,""))))))</f>
        <v>46837</v>
      </c>
      <c r="H2" s="2">
        <f t="shared" ca="1" si="2"/>
        <v>46837</v>
      </c>
      <c r="I2" s="4" t="s">
        <v>13</v>
      </c>
      <c r="J2" s="4" t="s">
        <v>14</v>
      </c>
      <c r="K2" s="4"/>
      <c r="M2" s="10" t="s">
        <v>15</v>
      </c>
      <c r="N2" s="11"/>
      <c r="O2" s="17"/>
    </row>
    <row r="3" spans="1:16" ht="15" thickBot="1" x14ac:dyDescent="0.2">
      <c r="A3" s="6"/>
      <c r="B3" s="34" t="s">
        <v>16</v>
      </c>
      <c r="C3" s="2">
        <v>46051</v>
      </c>
      <c r="D3" s="2">
        <v>46110</v>
      </c>
      <c r="E3" s="2">
        <v>46171</v>
      </c>
      <c r="F3" s="2">
        <v>46232</v>
      </c>
      <c r="G3" s="2">
        <v>46294</v>
      </c>
      <c r="H3" s="2">
        <v>46356</v>
      </c>
      <c r="I3" s="4" t="s">
        <v>90</v>
      </c>
      <c r="J3" s="4" t="s">
        <v>14</v>
      </c>
      <c r="K3" s="1" t="s">
        <v>18</v>
      </c>
      <c r="M3" s="5" t="s">
        <v>12</v>
      </c>
      <c r="N3" s="11" t="s">
        <v>19</v>
      </c>
      <c r="O3" s="17"/>
    </row>
    <row r="4" spans="1:16" ht="15" thickBot="1" x14ac:dyDescent="0.2">
      <c r="A4" s="6"/>
      <c r="B4" s="6" t="s">
        <v>20</v>
      </c>
      <c r="C4" s="2">
        <v>46051</v>
      </c>
      <c r="D4" s="2">
        <v>46141</v>
      </c>
      <c r="E4" s="2">
        <f t="shared" si="0"/>
        <v>46232</v>
      </c>
      <c r="F4" s="2">
        <f t="shared" ref="F4:F34" si="3">IF($E4="","",
 IF($I4="MONTHLY",EDATE($E4,1),
 IF($I4="QUARTERLY",EDATE($E4,3),
 IF($I4="SEMIANNUALLY",EDATE($E4,6),
 IF($I4="BI-WEEKLY",$E4+14,
 IF($I4="WEEKLY",$E4+7,""))))))</f>
        <v>46324</v>
      </c>
      <c r="G4" s="2">
        <f t="shared" si="1"/>
        <v>46416</v>
      </c>
      <c r="H4" s="2">
        <f t="shared" si="2"/>
        <v>46506</v>
      </c>
      <c r="I4" s="4" t="s">
        <v>21</v>
      </c>
      <c r="J4" s="4" t="s">
        <v>14</v>
      </c>
      <c r="K4" s="4"/>
      <c r="M4" s="5" t="s">
        <v>16</v>
      </c>
      <c r="N4" s="11" t="s">
        <v>22</v>
      </c>
      <c r="O4" s="17"/>
    </row>
    <row r="5" spans="1:16" ht="15" thickBot="1" x14ac:dyDescent="0.2">
      <c r="A5" s="4"/>
      <c r="B5" s="8" t="s">
        <v>23</v>
      </c>
      <c r="C5" s="2">
        <v>45922</v>
      </c>
      <c r="D5" s="2">
        <v>46012</v>
      </c>
      <c r="E5" s="2">
        <f t="shared" si="0"/>
        <v>46102</v>
      </c>
      <c r="F5" s="2">
        <f t="shared" si="3"/>
        <v>46194</v>
      </c>
      <c r="G5" s="2">
        <f t="shared" si="1"/>
        <v>46286</v>
      </c>
      <c r="H5" s="2">
        <f t="shared" si="2"/>
        <v>46377</v>
      </c>
      <c r="I5" s="4" t="s">
        <v>21</v>
      </c>
      <c r="J5" s="4" t="s">
        <v>14</v>
      </c>
      <c r="K5" s="4"/>
      <c r="M5" s="5" t="s">
        <v>20</v>
      </c>
      <c r="N5" s="11" t="s">
        <v>22</v>
      </c>
      <c r="O5" s="17"/>
    </row>
    <row r="6" spans="1:16" ht="15" thickBot="1" x14ac:dyDescent="0.2">
      <c r="A6" s="4"/>
      <c r="B6" s="4" t="s">
        <v>24</v>
      </c>
      <c r="C6" s="2">
        <v>46028</v>
      </c>
      <c r="D6" s="2">
        <v>46087</v>
      </c>
      <c r="E6" s="2">
        <f t="shared" si="0"/>
        <v>46179</v>
      </c>
      <c r="F6" s="2">
        <f t="shared" si="3"/>
        <v>46271</v>
      </c>
      <c r="G6" s="2">
        <f t="shared" si="1"/>
        <v>46362</v>
      </c>
      <c r="H6" s="2">
        <f t="shared" si="2"/>
        <v>46452</v>
      </c>
      <c r="I6" s="4" t="s">
        <v>21</v>
      </c>
      <c r="J6" s="4" t="s">
        <v>14</v>
      </c>
      <c r="K6" s="4"/>
      <c r="M6" s="5" t="s">
        <v>23</v>
      </c>
      <c r="N6" s="11" t="s">
        <v>25</v>
      </c>
      <c r="O6" s="17">
        <v>5622178839</v>
      </c>
    </row>
    <row r="7" spans="1:16" ht="15" thickBot="1" x14ac:dyDescent="0.2">
      <c r="A7" s="4"/>
      <c r="B7" s="4" t="s">
        <v>26</v>
      </c>
      <c r="C7" s="2">
        <v>46039</v>
      </c>
      <c r="D7" s="2">
        <v>46098</v>
      </c>
      <c r="E7" s="2">
        <v>46159</v>
      </c>
      <c r="F7" s="2">
        <v>46220</v>
      </c>
      <c r="G7" s="2">
        <v>46282</v>
      </c>
      <c r="H7" s="2">
        <v>46343</v>
      </c>
      <c r="I7" s="4" t="s">
        <v>90</v>
      </c>
      <c r="J7" s="4" t="s">
        <v>14</v>
      </c>
      <c r="K7" s="4"/>
      <c r="M7" s="5" t="s">
        <v>24</v>
      </c>
      <c r="N7" s="11" t="s">
        <v>27</v>
      </c>
      <c r="O7" s="17">
        <v>3104650630</v>
      </c>
    </row>
    <row r="8" spans="1:16" ht="15" thickBot="1" x14ac:dyDescent="0.2">
      <c r="A8" s="4"/>
      <c r="B8" s="4" t="s">
        <v>28</v>
      </c>
      <c r="C8" s="2">
        <v>46009</v>
      </c>
      <c r="D8" s="2">
        <v>46099</v>
      </c>
      <c r="E8" s="2">
        <f t="shared" si="0"/>
        <v>46191</v>
      </c>
      <c r="F8" s="2">
        <f t="shared" si="3"/>
        <v>46283</v>
      </c>
      <c r="G8" s="2">
        <f t="shared" si="1"/>
        <v>46374</v>
      </c>
      <c r="H8" s="2">
        <f t="shared" si="2"/>
        <v>46464</v>
      </c>
      <c r="I8" s="4" t="s">
        <v>21</v>
      </c>
      <c r="J8" s="4" t="s">
        <v>14</v>
      </c>
      <c r="K8" s="4"/>
      <c r="M8" s="5" t="s">
        <v>29</v>
      </c>
      <c r="N8" s="11" t="s">
        <v>22</v>
      </c>
      <c r="O8" s="17"/>
    </row>
    <row r="9" spans="1:16" ht="15" thickBot="1" x14ac:dyDescent="0.2">
      <c r="A9" s="4"/>
      <c r="B9" s="4" t="s">
        <v>30</v>
      </c>
      <c r="C9" s="2">
        <v>46055</v>
      </c>
      <c r="D9" s="2">
        <v>46083</v>
      </c>
      <c r="E9" s="2">
        <f t="shared" si="0"/>
        <v>46114</v>
      </c>
      <c r="F9" s="2">
        <f t="shared" si="3"/>
        <v>46144</v>
      </c>
      <c r="G9" s="2">
        <f t="shared" si="1"/>
        <v>46175</v>
      </c>
      <c r="H9" s="2">
        <f t="shared" si="2"/>
        <v>46205</v>
      </c>
      <c r="I9" s="4" t="s">
        <v>31</v>
      </c>
      <c r="J9" s="4" t="s">
        <v>14</v>
      </c>
      <c r="K9" s="4"/>
      <c r="M9" s="5" t="s">
        <v>28</v>
      </c>
      <c r="N9" s="11" t="s">
        <v>32</v>
      </c>
      <c r="O9" s="17"/>
    </row>
    <row r="10" spans="1:16" ht="15" thickBot="1" x14ac:dyDescent="0.2">
      <c r="A10" s="4"/>
      <c r="B10" s="4" t="s">
        <v>33</v>
      </c>
      <c r="C10" s="2">
        <v>46055</v>
      </c>
      <c r="D10" s="2">
        <v>46069</v>
      </c>
      <c r="E10" s="2">
        <f t="shared" si="0"/>
        <v>46083</v>
      </c>
      <c r="F10" s="2">
        <f t="shared" si="3"/>
        <v>46097</v>
      </c>
      <c r="G10" s="2">
        <f t="shared" si="1"/>
        <v>46111</v>
      </c>
      <c r="H10" s="2">
        <f t="shared" si="2"/>
        <v>46125</v>
      </c>
      <c r="I10" s="4" t="s">
        <v>34</v>
      </c>
      <c r="J10" s="4" t="s">
        <v>14</v>
      </c>
      <c r="K10" s="4"/>
      <c r="M10" s="5" t="s">
        <v>30</v>
      </c>
      <c r="N10" s="11" t="s">
        <v>35</v>
      </c>
      <c r="O10" s="17"/>
    </row>
    <row r="11" spans="1:16" ht="15" thickBot="1" x14ac:dyDescent="0.2">
      <c r="A11" s="4"/>
      <c r="B11" s="4" t="s">
        <v>36</v>
      </c>
      <c r="C11" s="2">
        <v>46050</v>
      </c>
      <c r="D11" s="2">
        <f>C11+DAY(15)</f>
        <v>46065</v>
      </c>
      <c r="E11" s="2">
        <f t="shared" si="0"/>
        <v>46079</v>
      </c>
      <c r="F11" s="2">
        <f t="shared" si="3"/>
        <v>46093</v>
      </c>
      <c r="G11" s="2">
        <f t="shared" si="1"/>
        <v>46107</v>
      </c>
      <c r="H11" s="2">
        <f t="shared" si="2"/>
        <v>46121</v>
      </c>
      <c r="I11" s="4" t="s">
        <v>34</v>
      </c>
      <c r="J11" s="4" t="s">
        <v>14</v>
      </c>
      <c r="K11" s="4"/>
      <c r="M11" s="5" t="s">
        <v>33</v>
      </c>
      <c r="N11" s="11" t="s">
        <v>37</v>
      </c>
      <c r="O11" s="17" t="s">
        <v>38</v>
      </c>
    </row>
    <row r="12" spans="1:16" ht="16.5" customHeight="1" thickBot="1" x14ac:dyDescent="0.2">
      <c r="A12" s="4"/>
      <c r="B12" s="4" t="s">
        <v>39</v>
      </c>
      <c r="C12" s="2">
        <v>45987</v>
      </c>
      <c r="D12" s="2">
        <v>46077</v>
      </c>
      <c r="E12" s="2">
        <f t="shared" si="0"/>
        <v>46166</v>
      </c>
      <c r="F12" s="2">
        <f t="shared" si="3"/>
        <v>46258</v>
      </c>
      <c r="G12" s="2">
        <f t="shared" si="1"/>
        <v>46350</v>
      </c>
      <c r="H12" s="2">
        <f t="shared" si="2"/>
        <v>46442</v>
      </c>
      <c r="I12" s="4" t="s">
        <v>21</v>
      </c>
      <c r="J12" s="4" t="s">
        <v>14</v>
      </c>
      <c r="K12" s="14" t="s">
        <v>40</v>
      </c>
      <c r="M12" s="5" t="s">
        <v>36</v>
      </c>
      <c r="N12" s="11" t="s">
        <v>22</v>
      </c>
      <c r="O12" s="17"/>
    </row>
    <row r="13" spans="1:16" ht="17.25" customHeight="1" thickBot="1" x14ac:dyDescent="0.2">
      <c r="A13" s="4"/>
      <c r="B13" s="4" t="s">
        <v>41</v>
      </c>
      <c r="C13" s="2">
        <v>46055</v>
      </c>
      <c r="D13" s="2">
        <v>46069</v>
      </c>
      <c r="E13" s="2">
        <f t="shared" si="0"/>
        <v>46083</v>
      </c>
      <c r="F13" s="2">
        <f t="shared" si="3"/>
        <v>46097</v>
      </c>
      <c r="G13" s="2">
        <f t="shared" si="1"/>
        <v>46111</v>
      </c>
      <c r="H13" s="2">
        <f t="shared" si="2"/>
        <v>46125</v>
      </c>
      <c r="I13" s="4" t="s">
        <v>34</v>
      </c>
      <c r="J13" s="4" t="s">
        <v>14</v>
      </c>
      <c r="K13" s="4"/>
      <c r="M13" s="5" t="s">
        <v>39</v>
      </c>
      <c r="N13" s="11" t="s">
        <v>25</v>
      </c>
      <c r="O13" s="19" t="s">
        <v>42</v>
      </c>
      <c r="P13" s="39"/>
    </row>
    <row r="14" spans="1:16" ht="15" thickBot="1" x14ac:dyDescent="0.2">
      <c r="A14" s="4" t="s">
        <v>43</v>
      </c>
      <c r="B14" s="4" t="s">
        <v>12</v>
      </c>
      <c r="C14" s="2">
        <v>45909</v>
      </c>
      <c r="D14" s="2">
        <v>46089</v>
      </c>
      <c r="E14" s="2">
        <f t="shared" si="0"/>
        <v>46273</v>
      </c>
      <c r="F14" s="2">
        <f t="shared" si="3"/>
        <v>46454</v>
      </c>
      <c r="G14" s="2">
        <f t="shared" si="1"/>
        <v>46638</v>
      </c>
      <c r="H14" s="2">
        <f t="shared" si="2"/>
        <v>46820</v>
      </c>
      <c r="I14" s="4" t="s">
        <v>13</v>
      </c>
      <c r="J14" s="4" t="s">
        <v>96</v>
      </c>
      <c r="K14" s="4"/>
      <c r="M14" s="5" t="s">
        <v>41</v>
      </c>
      <c r="N14" s="11" t="s">
        <v>45</v>
      </c>
      <c r="O14" s="17"/>
      <c r="P14" s="39"/>
    </row>
    <row r="15" spans="1:16" ht="15.75" customHeight="1" thickBot="1" x14ac:dyDescent="0.2">
      <c r="A15" s="4"/>
      <c r="B15" s="4" t="s">
        <v>16</v>
      </c>
      <c r="C15" s="2">
        <v>46020</v>
      </c>
      <c r="D15" s="2">
        <v>46076</v>
      </c>
      <c r="E15" s="2">
        <f>Table1[[#This Row],[NEXT SERVICE NEEDED BY]]+56</f>
        <v>46132</v>
      </c>
      <c r="F15" s="2">
        <f>Table1[[#This Row],[NEXT SERVICE NEEDED BY2]]+56</f>
        <v>46188</v>
      </c>
      <c r="G15" s="2">
        <f>Table1[[#This Row],[NEXT SERVICE NEEDED BY3]]+56</f>
        <v>46244</v>
      </c>
      <c r="H15" s="2">
        <f>Table1[[#This Row],[NEXT SERVICE NEEDED BY4]]+56</f>
        <v>46300</v>
      </c>
      <c r="I15" s="4" t="s">
        <v>90</v>
      </c>
      <c r="J15" s="4" t="s">
        <v>96</v>
      </c>
      <c r="K15" s="1" t="s">
        <v>18</v>
      </c>
      <c r="M15" s="11" t="s">
        <v>46</v>
      </c>
      <c r="N15" s="5" t="s">
        <v>47</v>
      </c>
      <c r="O15" s="17">
        <v>2134791422</v>
      </c>
    </row>
    <row r="16" spans="1:16" ht="14.25" customHeight="1" thickBot="1" x14ac:dyDescent="0.2">
      <c r="A16" s="4"/>
      <c r="B16" s="4" t="s">
        <v>20</v>
      </c>
      <c r="C16" s="2">
        <v>46057</v>
      </c>
      <c r="D16" s="2">
        <v>46052</v>
      </c>
      <c r="E16" s="2">
        <f t="shared" si="0"/>
        <v>46142</v>
      </c>
      <c r="F16" s="2">
        <f t="shared" si="3"/>
        <v>46233</v>
      </c>
      <c r="G16" s="2">
        <f t="shared" si="1"/>
        <v>46325</v>
      </c>
      <c r="H16" s="2">
        <f t="shared" si="2"/>
        <v>46417</v>
      </c>
      <c r="I16" s="4" t="s">
        <v>21</v>
      </c>
      <c r="J16" s="4" t="s">
        <v>96</v>
      </c>
      <c r="K16" s="4"/>
      <c r="M16" s="37" t="s">
        <v>48</v>
      </c>
      <c r="N16" s="11" t="s">
        <v>49</v>
      </c>
      <c r="O16" s="17">
        <v>7473331933</v>
      </c>
    </row>
    <row r="17" spans="1:17" ht="15" thickBot="1" x14ac:dyDescent="0.2">
      <c r="A17" s="4"/>
      <c r="B17" s="4" t="s">
        <v>23</v>
      </c>
      <c r="C17" s="2">
        <v>46378</v>
      </c>
      <c r="D17" s="2">
        <v>46103</v>
      </c>
      <c r="E17" s="2">
        <f t="shared" si="0"/>
        <v>46195</v>
      </c>
      <c r="F17" s="2">
        <f t="shared" si="3"/>
        <v>46287</v>
      </c>
      <c r="G17" s="2">
        <f t="shared" si="1"/>
        <v>46378</v>
      </c>
      <c r="H17" s="2">
        <f t="shared" si="2"/>
        <v>46468</v>
      </c>
      <c r="I17" s="4" t="s">
        <v>21</v>
      </c>
      <c r="J17" s="4" t="s">
        <v>96</v>
      </c>
      <c r="K17" s="4"/>
      <c r="M17" s="38"/>
      <c r="N17" s="11" t="s">
        <v>50</v>
      </c>
      <c r="O17" s="17">
        <v>3233374455</v>
      </c>
    </row>
    <row r="18" spans="1:17" ht="15" thickBot="1" x14ac:dyDescent="0.2">
      <c r="A18" s="4"/>
      <c r="B18" s="4" t="s">
        <v>24</v>
      </c>
      <c r="C18" s="2">
        <v>46039</v>
      </c>
      <c r="D18" s="2">
        <v>46129</v>
      </c>
      <c r="E18" s="2">
        <f t="shared" si="0"/>
        <v>46220</v>
      </c>
      <c r="F18" s="2">
        <f t="shared" si="3"/>
        <v>46312</v>
      </c>
      <c r="G18" s="2">
        <f t="shared" si="1"/>
        <v>46404</v>
      </c>
      <c r="H18" s="2">
        <f t="shared" si="2"/>
        <v>46494</v>
      </c>
      <c r="I18" s="4" t="s">
        <v>21</v>
      </c>
      <c r="J18" s="4" t="s">
        <v>96</v>
      </c>
      <c r="K18" s="4"/>
      <c r="M18" s="11" t="s">
        <v>51</v>
      </c>
      <c r="N18" s="11" t="s">
        <v>52</v>
      </c>
      <c r="O18" s="17">
        <v>3107956101</v>
      </c>
    </row>
    <row r="19" spans="1:17" ht="14.25" customHeight="1" thickBot="1" x14ac:dyDescent="0.2">
      <c r="A19" s="4"/>
      <c r="B19" s="4" t="s">
        <v>53</v>
      </c>
      <c r="C19" s="2">
        <v>46051</v>
      </c>
      <c r="D19" s="2">
        <v>46043</v>
      </c>
      <c r="E19" s="2">
        <v>46099</v>
      </c>
      <c r="F19" s="2">
        <v>46155</v>
      </c>
      <c r="G19" s="2">
        <v>46211</v>
      </c>
      <c r="H19" s="2">
        <v>46267</v>
      </c>
      <c r="I19" s="4" t="s">
        <v>90</v>
      </c>
      <c r="J19" s="4" t="s">
        <v>96</v>
      </c>
      <c r="K19" s="4"/>
      <c r="M19" s="11" t="s">
        <v>54</v>
      </c>
      <c r="N19" s="11"/>
      <c r="O19" s="17">
        <v>8007728144</v>
      </c>
    </row>
    <row r="20" spans="1:17" ht="21" customHeight="1" thickBot="1" x14ac:dyDescent="0.25">
      <c r="A20" s="4"/>
      <c r="B20" s="4" t="s">
        <v>28</v>
      </c>
      <c r="C20" s="2">
        <v>45953</v>
      </c>
      <c r="D20" s="2">
        <v>46043</v>
      </c>
      <c r="E20" s="2">
        <f t="shared" si="0"/>
        <v>46133</v>
      </c>
      <c r="F20" s="2">
        <f t="shared" si="3"/>
        <v>46224</v>
      </c>
      <c r="G20" s="2">
        <f t="shared" si="1"/>
        <v>46316</v>
      </c>
      <c r="H20" s="2">
        <f t="shared" si="2"/>
        <v>46408</v>
      </c>
      <c r="I20" s="4" t="s">
        <v>21</v>
      </c>
      <c r="J20" s="4" t="s">
        <v>96</v>
      </c>
      <c r="K20" s="4"/>
      <c r="M20" s="11" t="s">
        <v>55</v>
      </c>
      <c r="N20" s="5" t="s">
        <v>56</v>
      </c>
      <c r="O20" s="17"/>
      <c r="P20" s="12"/>
      <c r="Q20" s="13"/>
    </row>
    <row r="21" spans="1:17" ht="15" thickBot="1" x14ac:dyDescent="0.2">
      <c r="A21" s="4"/>
      <c r="B21" s="4" t="s">
        <v>33</v>
      </c>
      <c r="C21" s="2">
        <v>46064</v>
      </c>
      <c r="D21" s="2">
        <v>46078</v>
      </c>
      <c r="E21" s="2">
        <f t="shared" si="0"/>
        <v>46092</v>
      </c>
      <c r="F21" s="2">
        <f t="shared" si="3"/>
        <v>46106</v>
      </c>
      <c r="G21" s="2">
        <f t="shared" si="1"/>
        <v>46120</v>
      </c>
      <c r="H21" s="2">
        <f t="shared" si="2"/>
        <v>46134</v>
      </c>
      <c r="I21" s="4" t="s">
        <v>34</v>
      </c>
      <c r="J21" s="4" t="s">
        <v>96</v>
      </c>
      <c r="K21" s="4"/>
      <c r="M21" s="11"/>
      <c r="N21" s="11" t="s">
        <v>40</v>
      </c>
      <c r="O21" s="17"/>
    </row>
    <row r="22" spans="1:17" ht="15" thickBot="1" x14ac:dyDescent="0.2">
      <c r="A22" s="4"/>
      <c r="B22" s="4" t="s">
        <v>36</v>
      </c>
      <c r="C22" s="2">
        <v>45959</v>
      </c>
      <c r="D22" s="2">
        <v>45989</v>
      </c>
      <c r="E22" s="2">
        <f t="shared" si="0"/>
        <v>46019</v>
      </c>
      <c r="F22" s="2">
        <f t="shared" si="3"/>
        <v>46050</v>
      </c>
      <c r="G22" s="2">
        <f t="shared" si="1"/>
        <v>46081</v>
      </c>
      <c r="H22" s="2">
        <f t="shared" si="2"/>
        <v>46109</v>
      </c>
      <c r="I22" s="4" t="s">
        <v>31</v>
      </c>
      <c r="J22" s="4" t="s">
        <v>96</v>
      </c>
      <c r="K22" s="4"/>
      <c r="M22" s="11"/>
      <c r="N22" s="11"/>
      <c r="O22" s="17"/>
    </row>
    <row r="23" spans="1:17" ht="15" thickBot="1" x14ac:dyDescent="0.2">
      <c r="A23" s="4"/>
      <c r="B23" s="4" t="s">
        <v>57</v>
      </c>
      <c r="C23" s="2">
        <v>45933</v>
      </c>
      <c r="D23" s="2">
        <v>46023</v>
      </c>
      <c r="E23" s="2">
        <f t="shared" si="0"/>
        <v>46113</v>
      </c>
      <c r="F23" s="2">
        <f t="shared" si="3"/>
        <v>46204</v>
      </c>
      <c r="G23" s="2">
        <f t="shared" si="1"/>
        <v>46296</v>
      </c>
      <c r="H23" s="2">
        <f t="shared" si="2"/>
        <v>46388</v>
      </c>
      <c r="I23" s="4" t="s">
        <v>21</v>
      </c>
      <c r="J23" s="4" t="s">
        <v>96</v>
      </c>
      <c r="K23" s="4"/>
    </row>
    <row r="24" spans="1:17" ht="15" thickBot="1" x14ac:dyDescent="0.2">
      <c r="A24" s="4"/>
      <c r="B24" s="4" t="s">
        <v>39</v>
      </c>
      <c r="C24" s="2">
        <v>45993</v>
      </c>
      <c r="D24" s="2">
        <v>46083</v>
      </c>
      <c r="E24" s="2">
        <f t="shared" si="0"/>
        <v>46175</v>
      </c>
      <c r="F24" s="2">
        <f t="shared" si="3"/>
        <v>46267</v>
      </c>
      <c r="G24" s="2">
        <f t="shared" si="1"/>
        <v>46358</v>
      </c>
      <c r="H24" s="2">
        <f t="shared" si="2"/>
        <v>46448</v>
      </c>
      <c r="I24" s="4" t="s">
        <v>21</v>
      </c>
      <c r="J24" s="4" t="s">
        <v>96</v>
      </c>
      <c r="K24" s="4"/>
    </row>
    <row r="25" spans="1:17" ht="15" thickBot="1" x14ac:dyDescent="0.2">
      <c r="A25" s="4"/>
      <c r="B25" s="4" t="s">
        <v>41</v>
      </c>
      <c r="C25" s="2">
        <v>46057</v>
      </c>
      <c r="D25" s="2">
        <v>46071</v>
      </c>
      <c r="E25" s="2">
        <f t="shared" si="0"/>
        <v>46099</v>
      </c>
      <c r="F25" s="2">
        <f t="shared" si="3"/>
        <v>46130</v>
      </c>
      <c r="G25" s="2">
        <f t="shared" si="1"/>
        <v>46160</v>
      </c>
      <c r="H25" s="2">
        <f t="shared" si="2"/>
        <v>46191</v>
      </c>
      <c r="I25" s="4" t="s">
        <v>31</v>
      </c>
      <c r="J25" s="3" t="s">
        <v>96</v>
      </c>
      <c r="K25" s="4"/>
    </row>
    <row r="26" spans="1:17" ht="15" thickBot="1" x14ac:dyDescent="0.2">
      <c r="A26" s="4"/>
      <c r="B26" s="4" t="s">
        <v>58</v>
      </c>
      <c r="C26" s="2">
        <v>46064</v>
      </c>
      <c r="D26" s="2">
        <v>46071</v>
      </c>
      <c r="E26" s="2">
        <f t="shared" si="0"/>
        <v>46078</v>
      </c>
      <c r="F26" s="2">
        <f t="shared" si="3"/>
        <v>46085</v>
      </c>
      <c r="G26" s="2">
        <f t="shared" si="1"/>
        <v>46092</v>
      </c>
      <c r="H26" s="2">
        <f t="shared" si="2"/>
        <v>46099</v>
      </c>
      <c r="I26" s="4" t="s">
        <v>59</v>
      </c>
      <c r="J26" s="4" t="s">
        <v>96</v>
      </c>
      <c r="K26" s="4"/>
    </row>
    <row r="27" spans="1:17" ht="15" thickBot="1" x14ac:dyDescent="0.2">
      <c r="A27" s="4" t="s">
        <v>60</v>
      </c>
      <c r="B27" s="4" t="s">
        <v>61</v>
      </c>
      <c r="C27" s="2">
        <v>46055</v>
      </c>
      <c r="D27" s="2">
        <v>46069</v>
      </c>
      <c r="E27" s="2">
        <f t="shared" si="0"/>
        <v>46083</v>
      </c>
      <c r="F27" s="2">
        <f t="shared" si="3"/>
        <v>46097</v>
      </c>
      <c r="G27" s="2">
        <f t="shared" si="1"/>
        <v>46111</v>
      </c>
      <c r="H27" s="2">
        <f t="shared" si="2"/>
        <v>46125</v>
      </c>
      <c r="I27" s="4" t="s">
        <v>34</v>
      </c>
      <c r="J27" s="4" t="s">
        <v>44</v>
      </c>
      <c r="K27" s="4"/>
    </row>
    <row r="28" spans="1:17" ht="15" thickBot="1" x14ac:dyDescent="0.2">
      <c r="A28" s="4"/>
      <c r="B28" s="4" t="s">
        <v>20</v>
      </c>
      <c r="C28" s="35">
        <v>45992</v>
      </c>
      <c r="D28" s="35">
        <f>Table1[[#This Row],[LAST SERVICED]]+84</f>
        <v>46076</v>
      </c>
      <c r="E28" s="35">
        <f>Table1[[#This Row],[NEXT SERVICE NEEDED BY]]+84</f>
        <v>46160</v>
      </c>
      <c r="F28" s="35">
        <f>Table1[[#This Row],[NEXT SERVICE NEEDED BY2]]+84</f>
        <v>46244</v>
      </c>
      <c r="G28" s="35">
        <f>Table1[[#This Row],[NEXT SERVICE NEEDED BY3]]+84</f>
        <v>46328</v>
      </c>
      <c r="H28" s="35">
        <f>Table1[[#This Row],[NEXT SERVICE NEEDED BY4]]+84</f>
        <v>46412</v>
      </c>
      <c r="I28" s="4" t="s">
        <v>21</v>
      </c>
      <c r="J28" s="4" t="s">
        <v>44</v>
      </c>
      <c r="K28" s="36"/>
    </row>
    <row r="29" spans="1:17" ht="13.5" customHeight="1" thickBot="1" x14ac:dyDescent="0.2">
      <c r="A29" s="4"/>
      <c r="B29" s="4" t="s">
        <v>12</v>
      </c>
      <c r="C29" s="2">
        <v>45834</v>
      </c>
      <c r="D29" s="2">
        <v>46014</v>
      </c>
      <c r="E29" s="2">
        <f t="shared" si="0"/>
        <v>46196</v>
      </c>
      <c r="F29" s="2">
        <f t="shared" si="3"/>
        <v>46379</v>
      </c>
      <c r="G29" s="2">
        <f t="shared" si="1"/>
        <v>46561</v>
      </c>
      <c r="H29" s="2">
        <f t="shared" si="2"/>
        <v>46744</v>
      </c>
      <c r="I29" s="4" t="s">
        <v>13</v>
      </c>
      <c r="J29" s="4" t="s">
        <v>44</v>
      </c>
      <c r="K29" s="4"/>
    </row>
    <row r="30" spans="1:17" ht="15" thickBot="1" x14ac:dyDescent="0.2">
      <c r="A30" s="4"/>
      <c r="B30" s="4" t="s">
        <v>23</v>
      </c>
      <c r="C30" s="2">
        <v>45926</v>
      </c>
      <c r="D30" s="2">
        <v>46016</v>
      </c>
      <c r="E30" s="2">
        <f t="shared" si="0"/>
        <v>46106</v>
      </c>
      <c r="F30" s="2">
        <f t="shared" si="3"/>
        <v>46198</v>
      </c>
      <c r="G30" s="2">
        <f t="shared" si="1"/>
        <v>46290</v>
      </c>
      <c r="H30" s="2">
        <f t="shared" si="2"/>
        <v>46381</v>
      </c>
      <c r="I30" s="4" t="s">
        <v>21</v>
      </c>
      <c r="J30" s="4" t="s">
        <v>44</v>
      </c>
      <c r="K30" s="4"/>
    </row>
    <row r="31" spans="1:17" ht="15" thickBot="1" x14ac:dyDescent="0.2">
      <c r="A31" s="4"/>
      <c r="B31" s="4" t="s">
        <v>24</v>
      </c>
      <c r="C31" s="2">
        <v>46038</v>
      </c>
      <c r="D31" s="2">
        <v>46128</v>
      </c>
      <c r="E31" s="2">
        <f t="shared" si="0"/>
        <v>46219</v>
      </c>
      <c r="F31" s="2">
        <f t="shared" si="3"/>
        <v>46311</v>
      </c>
      <c r="G31" s="2">
        <f t="shared" si="1"/>
        <v>46403</v>
      </c>
      <c r="H31" s="2">
        <f t="shared" si="2"/>
        <v>46493</v>
      </c>
      <c r="I31" s="4" t="s">
        <v>21</v>
      </c>
      <c r="J31" s="4" t="s">
        <v>44</v>
      </c>
      <c r="K31" s="4"/>
    </row>
    <row r="32" spans="1:17" ht="15" thickBot="1" x14ac:dyDescent="0.2">
      <c r="A32" s="4"/>
      <c r="B32" s="4" t="s">
        <v>29</v>
      </c>
      <c r="C32" s="2">
        <v>46049</v>
      </c>
      <c r="D32" s="2">
        <v>46108</v>
      </c>
      <c r="E32" s="2">
        <v>46168</v>
      </c>
      <c r="F32" s="2">
        <v>46230</v>
      </c>
      <c r="G32" s="2">
        <v>46292</v>
      </c>
      <c r="H32" s="2">
        <v>46353</v>
      </c>
      <c r="I32" s="4" t="s">
        <v>90</v>
      </c>
      <c r="J32" s="4" t="s">
        <v>44</v>
      </c>
      <c r="K32" s="4"/>
    </row>
    <row r="33" spans="1:11" ht="15" thickBot="1" x14ac:dyDescent="0.2">
      <c r="A33" s="4"/>
      <c r="B33" s="4" t="s">
        <v>28</v>
      </c>
      <c r="C33" s="2">
        <v>46014</v>
      </c>
      <c r="D33" s="2">
        <v>46104</v>
      </c>
      <c r="E33" s="2">
        <f t="shared" si="0"/>
        <v>46196</v>
      </c>
      <c r="F33" s="2">
        <f t="shared" si="3"/>
        <v>46288</v>
      </c>
      <c r="G33" s="2">
        <f t="shared" si="1"/>
        <v>46379</v>
      </c>
      <c r="H33" s="2">
        <f t="shared" si="2"/>
        <v>46469</v>
      </c>
      <c r="I33" s="4" t="s">
        <v>21</v>
      </c>
      <c r="J33" s="4" t="s">
        <v>44</v>
      </c>
      <c r="K33" s="4"/>
    </row>
    <row r="34" spans="1:11" ht="15" thickBot="1" x14ac:dyDescent="0.2">
      <c r="A34" s="4"/>
      <c r="B34" s="4" t="s">
        <v>33</v>
      </c>
      <c r="C34" s="2">
        <v>46064</v>
      </c>
      <c r="D34" s="2">
        <v>46078</v>
      </c>
      <c r="E34" s="2">
        <f t="shared" si="0"/>
        <v>46092</v>
      </c>
      <c r="F34" s="2">
        <f t="shared" si="3"/>
        <v>46106</v>
      </c>
      <c r="G34" s="2">
        <f t="shared" si="1"/>
        <v>46120</v>
      </c>
      <c r="H34" s="2">
        <f t="shared" si="2"/>
        <v>46134</v>
      </c>
      <c r="I34" s="4" t="s">
        <v>34</v>
      </c>
      <c r="J34" s="4" t="s">
        <v>44</v>
      </c>
      <c r="K34" s="4" t="s">
        <v>62</v>
      </c>
    </row>
    <row r="35" spans="1:11" ht="15" thickBot="1" x14ac:dyDescent="0.2">
      <c r="A35" s="4"/>
      <c r="B35" s="4" t="s">
        <v>36</v>
      </c>
      <c r="C35" s="2">
        <v>46051</v>
      </c>
      <c r="D35" s="2">
        <f>Table1[[#This Row],[LAST SERVICED]]+14</f>
        <v>46065</v>
      </c>
      <c r="E35" s="2">
        <f t="shared" ref="E35:E66" si="4">IF($D35="","",
IF($I35="MONTHLY",EDATE($D35,1),
IF($I35="QUARTERLY",EDATE($D35,3),
IF($I35="SEMIANNUALLY",EDATE($D35,6),
IF($I35="BI-WEEKLY",$D35+14,
IF($I35="WEEKLY",$D35+7,""))))))</f>
        <v>46079</v>
      </c>
      <c r="F35" s="2">
        <f t="shared" ref="F35:F66" si="5">IF($E35="","",
 IF($I35="MONTHLY",EDATE($E35,1),
 IF($I35="QUARTERLY",EDATE($E35,3),
 IF($I35="SEMIANNUALLY",EDATE($E35,6),
 IF($I35="BI-WEEKLY",$E35+14,
 IF($I35="WEEKLY",$E35+7,""))))))</f>
        <v>46093</v>
      </c>
      <c r="G35" s="2">
        <f t="shared" ref="G35:G66" si="6">IF($F35="","",
 IF($I35="MONTHLY",EDATE($F35,1),
 IF($I35="QUARTERLY",EDATE($F35,3),
 IF($I35="SEMIANNUALLY",EDATE($F35,6),
 IF($I35="BI-WEEKLY",$F35+14,
 IF($I35="WEEKLY",$F35+7,""))))))</f>
        <v>46107</v>
      </c>
      <c r="H35" s="2">
        <f t="shared" ref="H35:H66" si="7">IF($G35="","",
 IF($I35="MONTHLY",EDATE($G35,1),
 IF($I35="QUARTERLY",EDATE($G35,3),
 IF($I35="SEMIANNUALLY",EDATE($G35,6),
 IF($I35="BI-WEEKLY",$G35+14,
 IF($I35="WEEKLY",$G35+7,""))))))</f>
        <v>46121</v>
      </c>
      <c r="I35" s="4" t="s">
        <v>34</v>
      </c>
      <c r="J35" s="4" t="s">
        <v>44</v>
      </c>
      <c r="K35" s="4"/>
    </row>
    <row r="36" spans="1:11" ht="15" thickBot="1" x14ac:dyDescent="0.2">
      <c r="A36" s="4"/>
      <c r="B36" s="4" t="s">
        <v>57</v>
      </c>
      <c r="C36" s="2">
        <v>45933</v>
      </c>
      <c r="D36" s="2">
        <v>46023</v>
      </c>
      <c r="E36" s="2">
        <f t="shared" si="4"/>
        <v>46113</v>
      </c>
      <c r="F36" s="2">
        <f t="shared" si="5"/>
        <v>46204</v>
      </c>
      <c r="G36" s="2">
        <f t="shared" si="6"/>
        <v>46296</v>
      </c>
      <c r="H36" s="2">
        <f t="shared" si="7"/>
        <v>46388</v>
      </c>
      <c r="I36" s="4" t="s">
        <v>21</v>
      </c>
      <c r="J36" s="4" t="s">
        <v>44</v>
      </c>
      <c r="K36" s="4"/>
    </row>
    <row r="37" spans="1:11" ht="17.25" customHeight="1" thickBot="1" x14ac:dyDescent="0.2">
      <c r="A37" s="4"/>
      <c r="B37" s="4" t="s">
        <v>41</v>
      </c>
      <c r="C37" s="2">
        <v>46077</v>
      </c>
      <c r="D37" s="2">
        <v>46083</v>
      </c>
      <c r="E37" s="2">
        <f t="shared" si="4"/>
        <v>46114</v>
      </c>
      <c r="F37" s="2">
        <f t="shared" si="5"/>
        <v>46144</v>
      </c>
      <c r="G37" s="2">
        <f t="shared" si="6"/>
        <v>46175</v>
      </c>
      <c r="H37" s="2">
        <f t="shared" si="7"/>
        <v>46205</v>
      </c>
      <c r="I37" s="4" t="s">
        <v>31</v>
      </c>
      <c r="J37" s="4" t="s">
        <v>44</v>
      </c>
      <c r="K37" s="4" t="s">
        <v>94</v>
      </c>
    </row>
    <row r="38" spans="1:11" ht="16.5" customHeight="1" thickBot="1" x14ac:dyDescent="0.2">
      <c r="A38" s="4" t="s">
        <v>63</v>
      </c>
      <c r="B38" s="4" t="s">
        <v>12</v>
      </c>
      <c r="C38" s="2">
        <v>45957</v>
      </c>
      <c r="D38" s="2">
        <v>46137</v>
      </c>
      <c r="E38" s="2">
        <f t="shared" si="4"/>
        <v>46320</v>
      </c>
      <c r="F38" s="2">
        <f t="shared" si="5"/>
        <v>46502</v>
      </c>
      <c r="G38" s="2">
        <f t="shared" si="6"/>
        <v>46685</v>
      </c>
      <c r="H38" s="2">
        <f t="shared" si="7"/>
        <v>46868</v>
      </c>
      <c r="I38" s="4" t="s">
        <v>13</v>
      </c>
      <c r="J38" s="4" t="s">
        <v>64</v>
      </c>
      <c r="K38" s="4"/>
    </row>
    <row r="39" spans="1:11" ht="15" thickBot="1" x14ac:dyDescent="0.2">
      <c r="A39" s="4"/>
      <c r="B39" s="4" t="s">
        <v>16</v>
      </c>
      <c r="C39" s="2">
        <v>45958</v>
      </c>
      <c r="D39" s="2">
        <v>46048</v>
      </c>
      <c r="E39" s="2">
        <f>Table1[[#This Row],[NEXT SERVICE NEEDED BY]]+56</f>
        <v>46104</v>
      </c>
      <c r="F39" s="2">
        <f>Table1[[#This Row],[NEXT SERVICE NEEDED BY2]]+56</f>
        <v>46160</v>
      </c>
      <c r="G39" s="2">
        <f>Table1[[#This Row],[NEXT SERVICE NEEDED BY3]]+56</f>
        <v>46216</v>
      </c>
      <c r="H39" s="2">
        <f>Table1[[#This Row],[NEXT SERVICE NEEDED BY4]]+56</f>
        <v>46272</v>
      </c>
      <c r="I39" s="4" t="s">
        <v>90</v>
      </c>
      <c r="J39" s="4" t="s">
        <v>65</v>
      </c>
      <c r="K39" s="1" t="s">
        <v>18</v>
      </c>
    </row>
    <row r="40" spans="1:11" ht="18" customHeight="1" thickBot="1" x14ac:dyDescent="0.2">
      <c r="A40" s="4"/>
      <c r="B40" s="4" t="s">
        <v>20</v>
      </c>
      <c r="C40" s="2">
        <v>45991</v>
      </c>
      <c r="D40" s="2">
        <v>46081</v>
      </c>
      <c r="E40" s="2">
        <f t="shared" si="4"/>
        <v>46170</v>
      </c>
      <c r="F40" s="2">
        <f>IF($E40="","",
 IF($I40="MONTHLY",EDATE($E40,1),
 IF($I40="QUARTERLY",EDATE($E40,3),
 IF($I40="SEMIANNUALLY",EDATE($E40,6),
 IF($I40="BI-WEEKLY",$E40+14,
 IF($I40="WEEKLY",$E40+7,""))))))</f>
        <v>46262</v>
      </c>
      <c r="G40" s="2">
        <f>IF($F40="","",
 IF($I40="MONTHLY",EDATE($F40,1),
 IF($I40="QUARTERLY",EDATE($F40,3),
 IF($I40="SEMIANNUALLY",EDATE($F40,6),
 IF($I40="BI-WEEKLY",$F40+14,
 IF($I40="WEEKLY",$F40+7,""))))))</f>
        <v>46354</v>
      </c>
      <c r="H40" s="2">
        <f t="shared" si="7"/>
        <v>46446</v>
      </c>
      <c r="I40" s="4" t="s">
        <v>21</v>
      </c>
      <c r="J40" s="4" t="s">
        <v>66</v>
      </c>
      <c r="K40" s="4" t="s">
        <v>67</v>
      </c>
    </row>
    <row r="41" spans="1:11" ht="15" thickBot="1" x14ac:dyDescent="0.2">
      <c r="A41" s="4"/>
      <c r="B41" s="4" t="s">
        <v>23</v>
      </c>
      <c r="C41" s="2">
        <v>45924</v>
      </c>
      <c r="D41" s="2">
        <v>46014</v>
      </c>
      <c r="E41" s="2">
        <f t="shared" si="4"/>
        <v>46104</v>
      </c>
      <c r="F41" s="2">
        <f t="shared" si="5"/>
        <v>46196</v>
      </c>
      <c r="G41" s="2">
        <f t="shared" si="6"/>
        <v>46288</v>
      </c>
      <c r="H41" s="2">
        <f t="shared" si="7"/>
        <v>46379</v>
      </c>
      <c r="I41" s="4" t="s">
        <v>21</v>
      </c>
      <c r="J41" s="4" t="s">
        <v>66</v>
      </c>
      <c r="K41" s="4"/>
    </row>
    <row r="42" spans="1:11" ht="15" thickBot="1" x14ac:dyDescent="0.2">
      <c r="A42" s="4"/>
      <c r="B42" s="4" t="s">
        <v>68</v>
      </c>
      <c r="C42" s="2">
        <v>45986</v>
      </c>
      <c r="D42" s="2">
        <v>45713</v>
      </c>
      <c r="E42" s="2">
        <f t="shared" si="4"/>
        <v>45802</v>
      </c>
      <c r="F42" s="2">
        <f t="shared" si="5"/>
        <v>45894</v>
      </c>
      <c r="G42" s="2">
        <f t="shared" si="6"/>
        <v>45986</v>
      </c>
      <c r="H42" s="2">
        <f t="shared" si="7"/>
        <v>46078</v>
      </c>
      <c r="I42" s="4" t="s">
        <v>21</v>
      </c>
      <c r="J42" s="4" t="s">
        <v>69</v>
      </c>
      <c r="K42" s="4"/>
    </row>
    <row r="43" spans="1:11" ht="15" thickBot="1" x14ac:dyDescent="0.2">
      <c r="A43" s="4"/>
      <c r="B43" s="4" t="s">
        <v>29</v>
      </c>
      <c r="C43" s="2">
        <v>46023</v>
      </c>
      <c r="D43" s="2">
        <f>Table1[[#This Row],[LAST SERVICED]]+56</f>
        <v>46079</v>
      </c>
      <c r="E43" s="2">
        <f>Table1[[#This Row],[NEXT SERVICE NEEDED BY]]+56</f>
        <v>46135</v>
      </c>
      <c r="F43" s="2">
        <f>Table1[[#This Row],[NEXT SERVICE NEEDED BY2]]+56</f>
        <v>46191</v>
      </c>
      <c r="G43" s="2">
        <f>Table1[[#This Row],[NEXT SERVICE NEEDED BY3]]+56</f>
        <v>46247</v>
      </c>
      <c r="H43" s="2">
        <f>Table1[[#This Row],[NEXT SERVICE NEEDED BY4]]+56</f>
        <v>46303</v>
      </c>
      <c r="I43" s="4" t="s">
        <v>90</v>
      </c>
      <c r="J43" s="4" t="s">
        <v>70</v>
      </c>
      <c r="K43" s="4"/>
    </row>
    <row r="44" spans="1:11" ht="15" thickBot="1" x14ac:dyDescent="0.2">
      <c r="A44" s="4"/>
      <c r="B44" s="4" t="s">
        <v>28</v>
      </c>
      <c r="C44" s="2">
        <v>45908</v>
      </c>
      <c r="D44" s="2">
        <v>45998</v>
      </c>
      <c r="E44" s="2">
        <f t="shared" si="4"/>
        <v>46088</v>
      </c>
      <c r="F44" s="2">
        <f t="shared" si="5"/>
        <v>46180</v>
      </c>
      <c r="G44" s="2">
        <f t="shared" si="6"/>
        <v>46272</v>
      </c>
      <c r="H44" s="2">
        <f t="shared" si="7"/>
        <v>46363</v>
      </c>
      <c r="I44" s="4" t="s">
        <v>21</v>
      </c>
      <c r="J44" s="4" t="s">
        <v>71</v>
      </c>
      <c r="K44" s="4"/>
    </row>
    <row r="45" spans="1:11" ht="15" thickBot="1" x14ac:dyDescent="0.2">
      <c r="A45" s="4"/>
      <c r="B45" s="4" t="s">
        <v>30</v>
      </c>
      <c r="C45" s="2">
        <v>46061</v>
      </c>
      <c r="D45" s="2">
        <v>46089</v>
      </c>
      <c r="E45" s="2">
        <f t="shared" si="4"/>
        <v>46120</v>
      </c>
      <c r="F45" s="2">
        <f t="shared" si="5"/>
        <v>46150</v>
      </c>
      <c r="G45" s="2">
        <f t="shared" si="6"/>
        <v>46181</v>
      </c>
      <c r="H45" s="2">
        <f t="shared" si="7"/>
        <v>46211</v>
      </c>
      <c r="I45" s="4" t="s">
        <v>31</v>
      </c>
      <c r="J45" s="4" t="s">
        <v>71</v>
      </c>
      <c r="K45" s="4"/>
    </row>
    <row r="46" spans="1:11" ht="15" thickBot="1" x14ac:dyDescent="0.2">
      <c r="A46" s="4"/>
      <c r="B46" s="4" t="s">
        <v>33</v>
      </c>
      <c r="C46" s="2">
        <v>46064</v>
      </c>
      <c r="D46" s="2">
        <v>46078</v>
      </c>
      <c r="E46" s="2">
        <f t="shared" si="4"/>
        <v>46092</v>
      </c>
      <c r="F46" s="2">
        <f t="shared" si="5"/>
        <v>46106</v>
      </c>
      <c r="G46" s="2">
        <f t="shared" si="6"/>
        <v>46120</v>
      </c>
      <c r="H46" s="2">
        <f t="shared" si="7"/>
        <v>46134</v>
      </c>
      <c r="I46" s="4" t="s">
        <v>34</v>
      </c>
      <c r="J46" s="4" t="s">
        <v>72</v>
      </c>
      <c r="K46" s="4" t="s">
        <v>62</v>
      </c>
    </row>
    <row r="47" spans="1:11" ht="15" thickBot="1" x14ac:dyDescent="0.2">
      <c r="A47" s="4"/>
      <c r="B47" s="4" t="s">
        <v>36</v>
      </c>
      <c r="C47" s="2">
        <v>45951</v>
      </c>
      <c r="D47" s="2">
        <v>45965</v>
      </c>
      <c r="E47" s="2">
        <f t="shared" si="4"/>
        <v>45979</v>
      </c>
      <c r="F47" s="2">
        <f t="shared" si="5"/>
        <v>45993</v>
      </c>
      <c r="G47" s="2">
        <f t="shared" si="6"/>
        <v>46007</v>
      </c>
      <c r="H47" s="2">
        <f t="shared" si="7"/>
        <v>46021</v>
      </c>
      <c r="I47" s="4" t="s">
        <v>34</v>
      </c>
      <c r="J47" s="4" t="s">
        <v>73</v>
      </c>
      <c r="K47" s="4"/>
    </row>
    <row r="48" spans="1:11" ht="15" thickBot="1" x14ac:dyDescent="0.2">
      <c r="A48" s="4"/>
      <c r="B48" s="4" t="s">
        <v>39</v>
      </c>
      <c r="C48" s="2">
        <v>45993</v>
      </c>
      <c r="D48" s="2">
        <v>46083</v>
      </c>
      <c r="E48" s="2">
        <f t="shared" si="4"/>
        <v>46175</v>
      </c>
      <c r="F48" s="2">
        <f t="shared" si="5"/>
        <v>46267</v>
      </c>
      <c r="G48" s="2">
        <f t="shared" si="6"/>
        <v>46358</v>
      </c>
      <c r="H48" s="2">
        <f t="shared" si="7"/>
        <v>46448</v>
      </c>
      <c r="I48" s="4" t="s">
        <v>21</v>
      </c>
      <c r="J48" s="4" t="s">
        <v>69</v>
      </c>
      <c r="K48" s="4"/>
    </row>
    <row r="49" spans="1:11" ht="15" thickBot="1" x14ac:dyDescent="0.2">
      <c r="A49" s="4"/>
      <c r="B49" s="4" t="s">
        <v>41</v>
      </c>
      <c r="C49" s="2">
        <v>46063</v>
      </c>
      <c r="D49" s="2">
        <v>46091</v>
      </c>
      <c r="E49" s="2">
        <f t="shared" si="4"/>
        <v>46122</v>
      </c>
      <c r="F49" s="2">
        <f t="shared" si="5"/>
        <v>46152</v>
      </c>
      <c r="G49" s="2">
        <f t="shared" si="6"/>
        <v>46183</v>
      </c>
      <c r="H49" s="2">
        <f t="shared" si="7"/>
        <v>46213</v>
      </c>
      <c r="I49" s="4" t="s">
        <v>31</v>
      </c>
      <c r="J49" s="4" t="s">
        <v>74</v>
      </c>
      <c r="K49" s="4"/>
    </row>
    <row r="50" spans="1:11" ht="15" thickBot="1" x14ac:dyDescent="0.2">
      <c r="A50" s="4" t="s">
        <v>75</v>
      </c>
      <c r="B50" s="4" t="s">
        <v>12</v>
      </c>
      <c r="C50" s="2">
        <v>45957</v>
      </c>
      <c r="D50" s="2">
        <v>46137</v>
      </c>
      <c r="E50" s="2">
        <f t="shared" si="4"/>
        <v>46320</v>
      </c>
      <c r="F50" s="2">
        <f t="shared" si="5"/>
        <v>46502</v>
      </c>
      <c r="G50" s="2">
        <f t="shared" si="6"/>
        <v>46685</v>
      </c>
      <c r="H50" s="2">
        <f t="shared" si="7"/>
        <v>46868</v>
      </c>
      <c r="I50" s="4" t="s">
        <v>13</v>
      </c>
      <c r="J50" s="4" t="s">
        <v>76</v>
      </c>
      <c r="K50" s="4"/>
    </row>
    <row r="51" spans="1:11" ht="15" thickBot="1" x14ac:dyDescent="0.2">
      <c r="A51" s="4"/>
      <c r="B51" s="4" t="s">
        <v>16</v>
      </c>
      <c r="C51" s="2">
        <v>46055</v>
      </c>
      <c r="D51" s="2">
        <f>Table1[[#This Row],[LAST SERVICED]]+63</f>
        <v>46118</v>
      </c>
      <c r="E51" s="2">
        <f>Table1[[#This Row],[NEXT SERVICE NEEDED BY]]+56</f>
        <v>46174</v>
      </c>
      <c r="F51" s="2">
        <f>Table1[[#This Row],[NEXT SERVICE NEEDED BY2]]+56</f>
        <v>46230</v>
      </c>
      <c r="G51" s="2">
        <f>Table1[[#This Row],[NEXT SERVICE NEEDED BY3]]+56</f>
        <v>46286</v>
      </c>
      <c r="H51" s="2">
        <f>Table1[[#This Row],[NEXT SERVICE NEEDED BY4]]+56</f>
        <v>46342</v>
      </c>
      <c r="I51" s="4" t="s">
        <v>90</v>
      </c>
      <c r="J51" s="4" t="s">
        <v>77</v>
      </c>
      <c r="K51" s="1" t="s">
        <v>18</v>
      </c>
    </row>
    <row r="52" spans="1:11" ht="15" thickBot="1" x14ac:dyDescent="0.2">
      <c r="A52" s="4"/>
      <c r="B52" s="4" t="s">
        <v>20</v>
      </c>
      <c r="C52" s="2">
        <v>46052</v>
      </c>
      <c r="D52" s="2">
        <v>46111</v>
      </c>
      <c r="E52" s="2">
        <f t="shared" si="4"/>
        <v>46203</v>
      </c>
      <c r="F52" s="2">
        <f t="shared" si="5"/>
        <v>46295</v>
      </c>
      <c r="G52" s="2">
        <f t="shared" si="6"/>
        <v>46386</v>
      </c>
      <c r="H52" s="2">
        <f t="shared" si="7"/>
        <v>46476</v>
      </c>
      <c r="I52" s="4" t="s">
        <v>21</v>
      </c>
      <c r="J52" s="4" t="s">
        <v>78</v>
      </c>
      <c r="K52" s="4"/>
    </row>
    <row r="53" spans="1:11" ht="15" thickBot="1" x14ac:dyDescent="0.2">
      <c r="A53" s="4"/>
      <c r="B53" s="4" t="s">
        <v>23</v>
      </c>
      <c r="C53" s="2">
        <v>45926</v>
      </c>
      <c r="D53" s="2">
        <v>46016</v>
      </c>
      <c r="E53" s="2">
        <f t="shared" si="4"/>
        <v>46106</v>
      </c>
      <c r="F53" s="2">
        <f t="shared" si="5"/>
        <v>46198</v>
      </c>
      <c r="G53" s="2">
        <f t="shared" si="6"/>
        <v>46290</v>
      </c>
      <c r="H53" s="2">
        <f t="shared" si="7"/>
        <v>46381</v>
      </c>
      <c r="I53" s="4" t="s">
        <v>21</v>
      </c>
      <c r="J53" s="4" t="s">
        <v>79</v>
      </c>
      <c r="K53" s="4"/>
    </row>
    <row r="54" spans="1:11" ht="15" thickBot="1" x14ac:dyDescent="0.2">
      <c r="A54" s="4"/>
      <c r="B54" s="4" t="s">
        <v>24</v>
      </c>
      <c r="C54" s="2">
        <v>46009</v>
      </c>
      <c r="D54" s="2">
        <v>46099</v>
      </c>
      <c r="E54" s="2">
        <f t="shared" si="4"/>
        <v>46191</v>
      </c>
      <c r="F54" s="2">
        <f t="shared" si="5"/>
        <v>46283</v>
      </c>
      <c r="G54" s="2">
        <f t="shared" si="6"/>
        <v>46374</v>
      </c>
      <c r="H54" s="2">
        <f t="shared" si="7"/>
        <v>46464</v>
      </c>
      <c r="I54" s="4" t="s">
        <v>21</v>
      </c>
      <c r="J54" s="4" t="s">
        <v>80</v>
      </c>
      <c r="K54" s="4"/>
    </row>
    <row r="55" spans="1:11" ht="15" thickBot="1" x14ac:dyDescent="0.2">
      <c r="A55" s="4"/>
      <c r="B55" s="4" t="s">
        <v>29</v>
      </c>
      <c r="C55" s="2">
        <v>46055</v>
      </c>
      <c r="D55" s="2">
        <v>46114</v>
      </c>
      <c r="E55" s="2">
        <v>46175</v>
      </c>
      <c r="F55" s="2">
        <v>46236</v>
      </c>
      <c r="G55" s="2">
        <v>46297</v>
      </c>
      <c r="H55" s="2">
        <v>46358</v>
      </c>
      <c r="I55" s="4" t="s">
        <v>17</v>
      </c>
      <c r="J55" s="40" t="s">
        <v>81</v>
      </c>
      <c r="K55" s="4"/>
    </row>
    <row r="56" spans="1:11" ht="15" thickBot="1" x14ac:dyDescent="0.2">
      <c r="A56" s="4"/>
      <c r="B56" s="4" t="s">
        <v>28</v>
      </c>
      <c r="C56" s="2">
        <v>45906</v>
      </c>
      <c r="D56" s="2">
        <v>45996</v>
      </c>
      <c r="E56" s="2">
        <f t="shared" si="4"/>
        <v>46086</v>
      </c>
      <c r="F56" s="2">
        <f t="shared" si="5"/>
        <v>46178</v>
      </c>
      <c r="G56" s="2">
        <f t="shared" si="6"/>
        <v>46270</v>
      </c>
      <c r="H56" s="2">
        <f t="shared" si="7"/>
        <v>46361</v>
      </c>
      <c r="I56" s="4" t="s">
        <v>21</v>
      </c>
      <c r="J56" s="40" t="s">
        <v>81</v>
      </c>
      <c r="K56" s="4"/>
    </row>
    <row r="57" spans="1:11" ht="15" thickBot="1" x14ac:dyDescent="0.2">
      <c r="A57" s="4"/>
      <c r="B57" s="4" t="s">
        <v>33</v>
      </c>
      <c r="C57" s="2">
        <v>46064</v>
      </c>
      <c r="D57" s="2">
        <v>46078</v>
      </c>
      <c r="E57" s="2">
        <f t="shared" si="4"/>
        <v>46092</v>
      </c>
      <c r="F57" s="2">
        <f t="shared" si="5"/>
        <v>46106</v>
      </c>
      <c r="G57" s="2">
        <f t="shared" si="6"/>
        <v>46120</v>
      </c>
      <c r="H57" s="2">
        <f t="shared" si="7"/>
        <v>46134</v>
      </c>
      <c r="I57" s="4" t="s">
        <v>34</v>
      </c>
      <c r="J57" s="40" t="s">
        <v>81</v>
      </c>
      <c r="K57" s="4"/>
    </row>
    <row r="58" spans="1:11" ht="15" thickBot="1" x14ac:dyDescent="0.2">
      <c r="A58" s="4"/>
      <c r="B58" s="4" t="s">
        <v>36</v>
      </c>
      <c r="C58" s="2">
        <v>46038</v>
      </c>
      <c r="D58" s="2">
        <v>45951</v>
      </c>
      <c r="E58" s="2">
        <f t="shared" si="4"/>
        <v>45965</v>
      </c>
      <c r="F58" s="2">
        <f t="shared" si="5"/>
        <v>45979</v>
      </c>
      <c r="G58" s="2">
        <f t="shared" si="6"/>
        <v>45993</v>
      </c>
      <c r="H58" s="2">
        <f t="shared" si="7"/>
        <v>46007</v>
      </c>
      <c r="I58" s="4" t="s">
        <v>34</v>
      </c>
      <c r="J58" s="40" t="s">
        <v>81</v>
      </c>
      <c r="K58" s="4"/>
    </row>
    <row r="59" spans="1:11" ht="15" thickBot="1" x14ac:dyDescent="0.2">
      <c r="A59" s="4"/>
      <c r="B59" s="4" t="s">
        <v>57</v>
      </c>
      <c r="C59" s="2">
        <v>45896</v>
      </c>
      <c r="D59" s="2">
        <v>45995</v>
      </c>
      <c r="E59" s="2">
        <f t="shared" si="4"/>
        <v>46085</v>
      </c>
      <c r="F59" s="2">
        <f t="shared" si="5"/>
        <v>46177</v>
      </c>
      <c r="G59" s="2">
        <f t="shared" si="6"/>
        <v>46269</v>
      </c>
      <c r="H59" s="2">
        <f t="shared" si="7"/>
        <v>46360</v>
      </c>
      <c r="I59" s="4" t="s">
        <v>21</v>
      </c>
      <c r="J59" s="4" t="s">
        <v>82</v>
      </c>
      <c r="K59" s="4"/>
    </row>
    <row r="60" spans="1:11" ht="15" thickBot="1" x14ac:dyDescent="0.2">
      <c r="A60" s="4"/>
      <c r="B60" s="4" t="s">
        <v>39</v>
      </c>
      <c r="C60" s="2">
        <v>45989</v>
      </c>
      <c r="D60" s="2">
        <v>46081</v>
      </c>
      <c r="E60" s="2">
        <f t="shared" si="4"/>
        <v>46170</v>
      </c>
      <c r="F60" s="2">
        <f t="shared" si="5"/>
        <v>46262</v>
      </c>
      <c r="G60" s="2">
        <f t="shared" si="6"/>
        <v>46354</v>
      </c>
      <c r="H60" s="2">
        <f t="shared" si="7"/>
        <v>46446</v>
      </c>
      <c r="I60" s="4" t="s">
        <v>21</v>
      </c>
      <c r="J60" s="40" t="s">
        <v>81</v>
      </c>
      <c r="K60" s="4"/>
    </row>
    <row r="61" spans="1:11" ht="15" thickBot="1" x14ac:dyDescent="0.2">
      <c r="A61" s="4"/>
      <c r="B61" s="4" t="s">
        <v>41</v>
      </c>
      <c r="C61" s="2">
        <v>46065</v>
      </c>
      <c r="D61" s="2">
        <v>46093</v>
      </c>
      <c r="E61" s="2">
        <f t="shared" si="4"/>
        <v>46124</v>
      </c>
      <c r="F61" s="2">
        <f t="shared" si="5"/>
        <v>46154</v>
      </c>
      <c r="G61" s="2">
        <f t="shared" si="6"/>
        <v>46185</v>
      </c>
      <c r="H61" s="2">
        <f t="shared" si="7"/>
        <v>46215</v>
      </c>
      <c r="I61" s="4" t="s">
        <v>31</v>
      </c>
      <c r="J61" s="40" t="s">
        <v>83</v>
      </c>
      <c r="K61" s="4"/>
    </row>
    <row r="62" spans="1:11" ht="15" thickBot="1" x14ac:dyDescent="0.2">
      <c r="A62" s="4" t="s">
        <v>84</v>
      </c>
      <c r="B62" s="4" t="s">
        <v>12</v>
      </c>
      <c r="C62" s="2">
        <v>45908</v>
      </c>
      <c r="D62" s="2">
        <v>46089</v>
      </c>
      <c r="E62" s="2">
        <f t="shared" si="4"/>
        <v>46273</v>
      </c>
      <c r="F62" s="2">
        <f t="shared" si="5"/>
        <v>46454</v>
      </c>
      <c r="G62" s="2">
        <f t="shared" si="6"/>
        <v>46638</v>
      </c>
      <c r="H62" s="2">
        <f t="shared" si="7"/>
        <v>46820</v>
      </c>
      <c r="I62" s="4" t="s">
        <v>13</v>
      </c>
      <c r="J62" s="4"/>
      <c r="K62" s="4"/>
    </row>
    <row r="63" spans="1:11" ht="15" thickBot="1" x14ac:dyDescent="0.2">
      <c r="A63" s="4"/>
      <c r="B63" s="4" t="s">
        <v>16</v>
      </c>
      <c r="C63" s="2">
        <v>45999</v>
      </c>
      <c r="D63" s="2">
        <v>46089</v>
      </c>
      <c r="E63" s="2">
        <f t="shared" si="4"/>
        <v>46181</v>
      </c>
      <c r="F63" s="2">
        <f t="shared" si="5"/>
        <v>46273</v>
      </c>
      <c r="G63" s="2">
        <f t="shared" si="6"/>
        <v>46364</v>
      </c>
      <c r="H63" s="2">
        <f t="shared" si="7"/>
        <v>46454</v>
      </c>
      <c r="I63" s="4" t="s">
        <v>21</v>
      </c>
      <c r="J63" s="4"/>
      <c r="K63" s="1" t="s">
        <v>18</v>
      </c>
    </row>
    <row r="64" spans="1:11" ht="15" thickBot="1" x14ac:dyDescent="0.2">
      <c r="A64" s="4"/>
      <c r="B64" s="4" t="s">
        <v>20</v>
      </c>
      <c r="C64" s="2">
        <v>45887</v>
      </c>
      <c r="D64" s="2">
        <v>45999</v>
      </c>
      <c r="E64" s="2">
        <f t="shared" si="4"/>
        <v>46089</v>
      </c>
      <c r="F64" s="2">
        <f t="shared" si="5"/>
        <v>46181</v>
      </c>
      <c r="G64" s="2">
        <f t="shared" si="6"/>
        <v>46273</v>
      </c>
      <c r="H64" s="2">
        <f t="shared" si="7"/>
        <v>46364</v>
      </c>
      <c r="I64" s="4" t="s">
        <v>21</v>
      </c>
      <c r="J64" s="4"/>
      <c r="K64" s="4"/>
    </row>
    <row r="65" spans="1:17" ht="15" thickBot="1" x14ac:dyDescent="0.2">
      <c r="A65" s="4"/>
      <c r="B65" s="4" t="s">
        <v>23</v>
      </c>
      <c r="C65" s="16">
        <v>46371</v>
      </c>
      <c r="D65" s="2">
        <v>46083</v>
      </c>
      <c r="E65" s="2">
        <f t="shared" si="4"/>
        <v>46175</v>
      </c>
      <c r="F65" s="2">
        <f t="shared" si="5"/>
        <v>46267</v>
      </c>
      <c r="G65" s="2">
        <f t="shared" si="6"/>
        <v>46358</v>
      </c>
      <c r="H65" s="2">
        <f t="shared" si="7"/>
        <v>46448</v>
      </c>
      <c r="I65" s="4" t="s">
        <v>21</v>
      </c>
      <c r="J65" s="4"/>
      <c r="K65" s="4" t="s">
        <v>85</v>
      </c>
    </row>
    <row r="66" spans="1:17" ht="15" thickBot="1" x14ac:dyDescent="0.2">
      <c r="A66" s="4"/>
      <c r="B66" s="4" t="s">
        <v>24</v>
      </c>
      <c r="C66" s="2">
        <v>46055</v>
      </c>
      <c r="D66" s="2">
        <v>46144</v>
      </c>
      <c r="E66" s="2">
        <f t="shared" si="4"/>
        <v>46236</v>
      </c>
      <c r="F66" s="2">
        <f t="shared" si="5"/>
        <v>46328</v>
      </c>
      <c r="G66" s="2">
        <f t="shared" si="6"/>
        <v>46420</v>
      </c>
      <c r="H66" s="2">
        <f t="shared" si="7"/>
        <v>46509</v>
      </c>
      <c r="I66" s="4" t="s">
        <v>21</v>
      </c>
      <c r="J66" s="4"/>
      <c r="K66" s="4" t="s">
        <v>86</v>
      </c>
    </row>
    <row r="67" spans="1:17" ht="15" thickBot="1" x14ac:dyDescent="0.2">
      <c r="A67" s="4"/>
      <c r="B67" s="4" t="s">
        <v>29</v>
      </c>
      <c r="C67" s="4"/>
      <c r="D67" s="2"/>
      <c r="E67" s="4"/>
      <c r="F67" s="4"/>
      <c r="G67" s="4"/>
      <c r="H67" s="4"/>
      <c r="I67" s="4" t="s">
        <v>21</v>
      </c>
      <c r="J67" s="4"/>
      <c r="K67" s="4"/>
    </row>
    <row r="68" spans="1:17" ht="15" thickBot="1" x14ac:dyDescent="0.2">
      <c r="A68" s="4"/>
      <c r="B68" s="4" t="s">
        <v>28</v>
      </c>
      <c r="C68" s="2">
        <v>46013</v>
      </c>
      <c r="D68" s="2">
        <v>46103</v>
      </c>
      <c r="E68" s="2">
        <v>46195</v>
      </c>
      <c r="F68" s="2">
        <v>46287</v>
      </c>
      <c r="G68" s="2">
        <v>46378</v>
      </c>
      <c r="H68" s="4"/>
      <c r="I68" s="4" t="s">
        <v>21</v>
      </c>
      <c r="J68" s="4"/>
      <c r="K68" s="4"/>
    </row>
    <row r="69" spans="1:17" ht="15" thickBot="1" x14ac:dyDescent="0.2">
      <c r="A69" s="4"/>
      <c r="B69" s="4" t="s">
        <v>33</v>
      </c>
      <c r="C69" s="4"/>
      <c r="D69" s="2"/>
      <c r="E69" s="4"/>
      <c r="F69" s="4"/>
      <c r="G69" s="4"/>
      <c r="H69" s="4"/>
      <c r="I69" s="4" t="s">
        <v>21</v>
      </c>
      <c r="J69" s="4"/>
      <c r="K69" s="4"/>
    </row>
    <row r="70" spans="1:17" ht="15" thickBot="1" x14ac:dyDescent="0.2">
      <c r="A70" s="4"/>
      <c r="B70" s="4" t="s">
        <v>39</v>
      </c>
      <c r="C70" s="15">
        <v>45993</v>
      </c>
      <c r="D70" s="2">
        <v>46083</v>
      </c>
      <c r="E70" s="2">
        <v>46175</v>
      </c>
      <c r="F70" s="2">
        <v>46267</v>
      </c>
      <c r="G70" s="2">
        <v>46358</v>
      </c>
      <c r="H70" s="2"/>
      <c r="I70" s="4" t="s">
        <v>21</v>
      </c>
      <c r="J70" s="4"/>
      <c r="K70" s="4" t="s">
        <v>87</v>
      </c>
    </row>
    <row r="71" spans="1:17" x14ac:dyDescent="0.15">
      <c r="A71" s="7"/>
      <c r="B71" s="7" t="s">
        <v>41</v>
      </c>
      <c r="C71" s="7"/>
      <c r="D71" s="31"/>
      <c r="E71" s="7"/>
      <c r="F71" s="7"/>
      <c r="G71" s="7"/>
      <c r="H71" s="7"/>
      <c r="I71" s="7" t="s">
        <v>88</v>
      </c>
      <c r="J71" s="7"/>
      <c r="K71" s="7"/>
    </row>
    <row r="72" spans="1:17" s="24" customFormat="1" ht="15" thickBot="1" x14ac:dyDescent="0.2">
      <c r="A72" s="23" t="s">
        <v>89</v>
      </c>
      <c r="B72" s="23"/>
      <c r="D72" s="32"/>
      <c r="J72" s="25"/>
      <c r="M72" s="26"/>
      <c r="N72" s="26"/>
      <c r="O72" s="27"/>
      <c r="P72" s="26"/>
      <c r="Q72" s="26"/>
    </row>
    <row r="73" spans="1:17" ht="15" thickBot="1" x14ac:dyDescent="0.2">
      <c r="A73" s="8"/>
      <c r="B73" s="8" t="s">
        <v>12</v>
      </c>
      <c r="C73" s="15">
        <v>46055</v>
      </c>
      <c r="D73" s="15">
        <f>Table1[[#This Row],[LAST SERVICED]]+182</f>
        <v>46237</v>
      </c>
      <c r="E73" s="15">
        <f>Table1[[#This Row],[NEXT SERVICE NEEDED BY]]+182</f>
        <v>46419</v>
      </c>
      <c r="F73" s="15">
        <f>Table1[[#This Row],[NEXT SERVICE NEEDED BY2]]+182</f>
        <v>46601</v>
      </c>
      <c r="G73" s="15">
        <f>Table1[[#This Row],[NEXT SERVICE NEEDED BY3]]+182</f>
        <v>46783</v>
      </c>
      <c r="H73" s="15">
        <f>Table1[[#This Row],[NEXT SERVICE NEEDED BY4]]+182</f>
        <v>46965</v>
      </c>
      <c r="I73" s="8" t="s">
        <v>13</v>
      </c>
      <c r="J73" s="22"/>
    </row>
    <row r="74" spans="1:17" ht="15" thickBot="1" x14ac:dyDescent="0.2">
      <c r="A74" s="21"/>
      <c r="B74" s="28" t="s">
        <v>16</v>
      </c>
      <c r="C74" s="15">
        <v>46055</v>
      </c>
      <c r="D74" s="15">
        <f>Table1[[#This Row],[LAST SERVICED]]+63</f>
        <v>46118</v>
      </c>
      <c r="E74" s="15">
        <f>Table1[[#This Row],[NEXT SERVICE NEEDED BY]]+56</f>
        <v>46174</v>
      </c>
      <c r="F74" s="15">
        <f>Table1[[#This Row],[NEXT SERVICE NEEDED BY2]]+56</f>
        <v>46230</v>
      </c>
      <c r="G74" s="15">
        <f>Table1[[#This Row],[NEXT SERVICE NEEDED BY3]]+56</f>
        <v>46286</v>
      </c>
      <c r="H74" s="15">
        <f>Table1[[#This Row],[NEXT SERVICE NEEDED BY4]]+56</f>
        <v>46342</v>
      </c>
      <c r="I74" s="3" t="s">
        <v>90</v>
      </c>
    </row>
    <row r="75" spans="1:17" ht="15" thickBot="1" x14ac:dyDescent="0.2">
      <c r="A75" s="6"/>
      <c r="B75" s="41" t="s">
        <v>20</v>
      </c>
      <c r="C75" s="15">
        <v>46059</v>
      </c>
      <c r="D75" s="15">
        <f>Table1[[#This Row],[LAST SERVICED]]+28</f>
        <v>46087</v>
      </c>
      <c r="E75" s="15">
        <v>46115</v>
      </c>
      <c r="F75" s="15">
        <f>Table1[[#This Row],[NEXT SERVICE NEEDED BY2]]+30</f>
        <v>46145</v>
      </c>
      <c r="G75" s="15">
        <f>Table1[[#This Row],[NEXT SERVICE NEEDED BY3]]+31</f>
        <v>46176</v>
      </c>
      <c r="H75" s="15">
        <f>Table1[[#This Row],[NEXT SERVICE NEEDED BY4]]+30</f>
        <v>46206</v>
      </c>
      <c r="I75" s="3" t="s">
        <v>31</v>
      </c>
    </row>
    <row r="76" spans="1:17" ht="15" thickBot="1" x14ac:dyDescent="0.2">
      <c r="A76" s="8"/>
      <c r="B76" s="29" t="s">
        <v>23</v>
      </c>
      <c r="C76" s="15">
        <v>46055</v>
      </c>
      <c r="D76" s="15">
        <f>Table1[[#This Row],[LAST SERVICED]]+105</f>
        <v>46160</v>
      </c>
      <c r="E76" s="15">
        <f>Table1[[#This Row],[NEXT SERVICE NEEDED BY]]+84</f>
        <v>46244</v>
      </c>
      <c r="F76" s="15">
        <f>Table1[[#This Row],[NEXT SERVICE NEEDED BY2]]+84</f>
        <v>46328</v>
      </c>
      <c r="G76" s="15">
        <f>Table1[[#This Row],[NEXT SERVICE NEEDED BY3]]+84</f>
        <v>46412</v>
      </c>
      <c r="H76" s="15">
        <f>Table1[[#This Row],[NEXT SERVICE NEEDED BY4]]+84</f>
        <v>46496</v>
      </c>
      <c r="I76" s="3" t="s">
        <v>21</v>
      </c>
    </row>
    <row r="77" spans="1:17" ht="15" thickBot="1" x14ac:dyDescent="0.2">
      <c r="A77" s="4"/>
      <c r="B77" s="4" t="s">
        <v>24</v>
      </c>
      <c r="C77" s="15">
        <v>46055</v>
      </c>
      <c r="D77" s="33">
        <f>Table1[[#This Row],[LAST SERVICED]]+91</f>
        <v>46146</v>
      </c>
      <c r="E77" s="15">
        <f>Table1[[#This Row],[NEXT SERVICE NEEDED BY]]+84</f>
        <v>46230</v>
      </c>
      <c r="F77" s="15">
        <f>Table1[[#This Row],[NEXT SERVICE NEEDED BY2]]+84</f>
        <v>46314</v>
      </c>
      <c r="G77" s="15">
        <f>Table1[[#This Row],[NEXT SERVICE NEEDED BY3]]+84</f>
        <v>46398</v>
      </c>
      <c r="H77" s="15">
        <f>Table1[[#This Row],[NEXT SERVICE NEEDED BY4]]+84</f>
        <v>46482</v>
      </c>
      <c r="I77" s="3" t="s">
        <v>21</v>
      </c>
    </row>
    <row r="78" spans="1:17" ht="15" thickBot="1" x14ac:dyDescent="0.2">
      <c r="A78" s="4"/>
      <c r="B78" s="4" t="s">
        <v>26</v>
      </c>
      <c r="C78" s="15">
        <v>46055</v>
      </c>
      <c r="D78" s="33">
        <f>Table1[[#This Row],[LAST SERVICED]]+63</f>
        <v>46118</v>
      </c>
      <c r="E78" s="15">
        <f>Table1[[#This Row],[NEXT SERVICE NEEDED BY]]+56</f>
        <v>46174</v>
      </c>
      <c r="F78" s="15">
        <f>Table1[[#This Row],[NEXT SERVICE NEEDED BY2]]+56</f>
        <v>46230</v>
      </c>
      <c r="G78" s="15">
        <f>Table1[[#This Row],[NEXT SERVICE NEEDED BY3]]+56</f>
        <v>46286</v>
      </c>
      <c r="H78" s="15">
        <f>Table1[[#This Row],[NEXT SERVICE NEEDED BY4]]+56</f>
        <v>46342</v>
      </c>
      <c r="I78" s="3" t="s">
        <v>90</v>
      </c>
    </row>
    <row r="79" spans="1:17" ht="15" thickBot="1" x14ac:dyDescent="0.2">
      <c r="A79" s="4"/>
      <c r="B79" s="4" t="s">
        <v>28</v>
      </c>
      <c r="C79" s="15">
        <v>46055</v>
      </c>
      <c r="D79" s="15">
        <f>Table1[[#This Row],[LAST SERVICED]]+133</f>
        <v>46188</v>
      </c>
      <c r="E79" s="15">
        <f>Table1[[#This Row],[NEXT SERVICE NEEDED BY]]+84</f>
        <v>46272</v>
      </c>
      <c r="F79" s="15">
        <f>Table1[[#This Row],[NEXT SERVICE NEEDED BY2]]+84</f>
        <v>46356</v>
      </c>
      <c r="G79" s="15">
        <f>Table1[[#This Row],[NEXT SERVICE NEEDED BY3]]+84</f>
        <v>46440</v>
      </c>
      <c r="H79" s="15">
        <f>Table1[[#This Row],[NEXT SERVICE NEEDED BY4]]+84</f>
        <v>46524</v>
      </c>
      <c r="I79" s="3" t="s">
        <v>21</v>
      </c>
    </row>
    <row r="80" spans="1:17" ht="15" thickBot="1" x14ac:dyDescent="0.2">
      <c r="A80" s="4"/>
      <c r="B80" s="4" t="s">
        <v>91</v>
      </c>
      <c r="C80" s="15"/>
    </row>
    <row r="81" spans="1:11" ht="15" thickBot="1" x14ac:dyDescent="0.2">
      <c r="A81" s="4"/>
      <c r="B81" s="4" t="s">
        <v>33</v>
      </c>
      <c r="C81" s="15">
        <v>46055</v>
      </c>
      <c r="D81" s="15">
        <f>Table1[[#This Row],[LAST SERVICED]]+14</f>
        <v>46069</v>
      </c>
      <c r="E81" s="15">
        <f>Table1[[#This Row],[NEXT SERVICE NEEDED BY]]+14</f>
        <v>46083</v>
      </c>
      <c r="F81" s="15">
        <f>Table1[[#This Row],[NEXT SERVICE NEEDED BY2]]+14</f>
        <v>46097</v>
      </c>
      <c r="G81" s="15">
        <f>Table1[[#This Row],[NEXT SERVICE NEEDED BY3]]+14</f>
        <v>46111</v>
      </c>
      <c r="H81" s="15">
        <f>Table1[[#This Row],[NEXT SERVICE NEEDED BY4]]+14</f>
        <v>46125</v>
      </c>
      <c r="I81" s="3" t="s">
        <v>34</v>
      </c>
    </row>
    <row r="82" spans="1:11" ht="15" thickBot="1" x14ac:dyDescent="0.2">
      <c r="A82" s="4"/>
      <c r="B82" s="4" t="s">
        <v>36</v>
      </c>
      <c r="C82" s="15">
        <v>46055</v>
      </c>
      <c r="D82" s="15">
        <f>Table1[[#This Row],[LAST SERVICED]]+28</f>
        <v>46083</v>
      </c>
      <c r="E82" s="15">
        <f>Table1[[#This Row],[NEXT SERVICE NEEDED BY]]+30</f>
        <v>46113</v>
      </c>
      <c r="F82" s="15">
        <f>Table1[[#This Row],[NEXT SERVICE NEEDED BY2]]+30</f>
        <v>46143</v>
      </c>
      <c r="G82" s="15">
        <f>Table1[[#This Row],[NEXT SERVICE NEEDED BY3]]+31</f>
        <v>46174</v>
      </c>
      <c r="H82" s="15">
        <f>Table1[[#This Row],[NEXT SERVICE NEEDED BY4]]+30</f>
        <v>46204</v>
      </c>
      <c r="I82" s="3" t="s">
        <v>31</v>
      </c>
    </row>
    <row r="83" spans="1:11" ht="15" thickBot="1" x14ac:dyDescent="0.2">
      <c r="A83" s="4"/>
      <c r="B83" s="4" t="s">
        <v>39</v>
      </c>
      <c r="C83" s="15">
        <v>46055</v>
      </c>
      <c r="D83" s="15">
        <f>Table1[[#This Row],[LAST SERVICED]]+98</f>
        <v>46153</v>
      </c>
      <c r="E83" s="15">
        <f>Table1[[#This Row],[NEXT SERVICE NEEDED BY]]+84</f>
        <v>46237</v>
      </c>
      <c r="F83" s="15">
        <f>Table1[[#This Row],[NEXT SERVICE NEEDED BY2]]+84</f>
        <v>46321</v>
      </c>
      <c r="G83" s="15">
        <f>Table1[[#This Row],[NEXT SERVICE NEEDED BY3]]+84</f>
        <v>46405</v>
      </c>
      <c r="H83" s="15">
        <f>Table1[[#This Row],[NEXT SERVICE NEEDED BY4]]+84</f>
        <v>46489</v>
      </c>
      <c r="I83" s="3" t="s">
        <v>21</v>
      </c>
    </row>
    <row r="84" spans="1:11" ht="15" thickBot="1" x14ac:dyDescent="0.2">
      <c r="A84" s="4"/>
      <c r="B84" s="4" t="s">
        <v>92</v>
      </c>
      <c r="C84" s="15">
        <v>46055</v>
      </c>
      <c r="D84" s="15">
        <f>Table1[[#This Row],[LAST SERVICED]]+14</f>
        <v>46069</v>
      </c>
      <c r="E84" s="15">
        <f>Table1[[#This Row],[NEXT SERVICE NEEDED BY]]+14</f>
        <v>46083</v>
      </c>
      <c r="F84" s="15">
        <f>Table1[[#This Row],[NEXT SERVICE NEEDED BY2]]+14</f>
        <v>46097</v>
      </c>
      <c r="G84" s="15">
        <f>Table1[[#This Row],[NEXT SERVICE NEEDED BY3]]+14</f>
        <v>46111</v>
      </c>
      <c r="H84" s="15">
        <f>Table1[[#This Row],[NEXT SERVICE NEEDED BY4]]+14</f>
        <v>46125</v>
      </c>
      <c r="I84" s="3" t="s">
        <v>34</v>
      </c>
      <c r="K84" s="3" t="s">
        <v>93</v>
      </c>
    </row>
    <row r="85" spans="1:11" x14ac:dyDescent="0.15">
      <c r="A85" s="7"/>
      <c r="B85" s="7"/>
    </row>
  </sheetData>
  <mergeCells count="1">
    <mergeCell ref="M16:M17"/>
  </mergeCells>
  <phoneticPr fontId="5" type="noConversion"/>
  <pageMargins left="0.7" right="0.7" top="0.75" bottom="0.75" header="0.3" footer="0.3"/>
  <pageSetup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MAINTENANCE LIST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Jessica Cabrera-Olimon</dc:creator>
  <cp:keywords/>
  <dc:description/>
  <cp:lastModifiedBy>Jessica Cabrera-Olimon</cp:lastModifiedBy>
  <cp:revision/>
  <dcterms:created xsi:type="dcterms:W3CDTF">2025-11-14T22:33:09Z</dcterms:created>
  <dcterms:modified xsi:type="dcterms:W3CDTF">2026-02-12T02:47:32Z</dcterms:modified>
  <cp:category/>
  <cp:contentStatus/>
</cp:coreProperties>
</file>